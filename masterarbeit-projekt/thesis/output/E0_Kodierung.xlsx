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5. Semester Master\masterarbeit-projekt\thesis\output\"/>
    </mc:Choice>
  </mc:AlternateContent>
  <xr:revisionPtr revIDLastSave="0" documentId="13_ncr:1_{5BA4D93D-6988-4D07-B53C-A41EC24E7919}" xr6:coauthVersionLast="47" xr6:coauthVersionMax="47" xr10:uidLastSave="{00000000-0000-0000-0000-000000000000}"/>
  <bookViews>
    <workbookView xWindow="28680" yWindow="-120" windowWidth="29040" windowHeight="15720" activeTab="1" xr2:uid="{00000000-000D-0000-FFFF-FFFF00000000}"/>
  </bookViews>
  <sheets>
    <sheet name="Kodierung" sheetId="1" r:id="rId1"/>
    <sheet name="Schluessel" sheetId="2" r:id="rId2"/>
    <sheet name="Auswertung" sheetId="3" r:id="rId3"/>
  </sheets>
  <definedNames>
    <definedName name="_xlnm._FilterDatabase" localSheetId="0" hidden="1">Kodierung!$A$1:$Z$91</definedName>
  </definedNames>
  <calcPr calcId="191029"/>
</workbook>
</file>

<file path=xl/calcChain.xml><?xml version="1.0" encoding="utf-8"?>
<calcChain xmlns="http://schemas.openxmlformats.org/spreadsheetml/2006/main">
  <c r="B6" i="3" l="1"/>
  <c r="B5" i="3"/>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alcChain>
</file>

<file path=xl/sharedStrings.xml><?xml version="1.0" encoding="utf-8"?>
<sst xmlns="http://schemas.openxmlformats.org/spreadsheetml/2006/main" count="748" uniqueCount="265">
  <si>
    <t>Auswertung – erst ausgefüllt, wenn die Punkte-Spalte im Blatt Kodierung vollständig ist</t>
  </si>
  <si>
    <t>Anon-ID</t>
  </si>
  <si>
    <t>Durchschnittliche Punktzahl je Modell</t>
  </si>
  <si>
    <t>Iteration</t>
  </si>
  <si>
    <t>Frage</t>
  </si>
  <si>
    <t>Modell</t>
  </si>
  <si>
    <t>Antwort</t>
  </si>
  <si>
    <t>Erwarteter Kernpunkt</t>
  </si>
  <si>
    <t>Punkte (0-3)</t>
  </si>
  <si>
    <t>Notiz</t>
  </si>
  <si>
    <t>Durchschnitt</t>
  </si>
  <si>
    <t>A001</t>
  </si>
  <si>
    <t>gemini-3.6-flash</t>
  </si>
  <si>
    <t>Why can removing outliers on its own be problematic, and what should the decision depend on?</t>
  </si>
  <si>
    <t>Removing outliers on its own—without investigation or context—is problematic for several key statistical and practical reasons.
---
### 1. Why Removing Outliers on Its Own Is Problematic
* **Loss of Real Signal and Knowledge:** Outliers are often valid extreme observations. Removing them can erase critical insights about rare events, structural shifts, or high-risk scenarios (e.g., financial fraud, equipment failure, or rare medical side effects).
* **Artificially Reduced Variance:** Blindly dropping extreme values artificially shrinks standard deviations, narrows confidence intervals, and deflates standard errors. This makes statistical tests overly optimistic and understates real-world uncertainty.
* **Selection Bias:** Deleting valid data points shifts the sample distribution away from the population distribution, introducing bias into estimated parameters (like the mean or regression coefficients).
* **Masking Model Mis-specification:** An "outlier" in a linear model might actually indicate a non-linear relationship, a missing interaction term, or a omitted variable. Removing the point hides the fact that the underlying model architecture is incorrect.
* **Reduction of Statistical Power:** In smaller datasets, removing multiple outliers reduces sample size ($N$), decreasing the statistical power of tests.
---
### 2. What the Decision to Remove or Keep Should Depend On
The decision to retain, adjust, or drop an outlier depends on four main criteria:
#### A. The Origin/Cause of the Data Point
* **Measurement or Data Entry Error:** If caused by broken sensors, typos (e.g., entering age as 300), or ETL bugs, the point should be **corrected or removed**.
* **Sampling Error:** If the point belongs to a population outside the defined scope of study, it should be **removed**.
* **Natural Variation / Genuine Extreme:** If the point is a legitimate, accurate measurement of a rare event, it should generally be **retained** or handled through modeling choices.
#### B. The Analytical Objective / Business Context
* **Anomaly/Risk Detection:** If the goal is detecting fraud, network intrusions, or catastrophic failures, the outliers *are* the primary target of interest and **must be kept**.
* **Baseline Forecasting/Generalization:** If the goal is modeling "typical" daily operational metrics, extreme one-off anomalies (e.g., sales during a 100-year pandemic) may be **removed or adjusted** so they do not distort normal operating patterns.
#### C. Sensitivity of the Chosen Algorithm
* **Non-Robust Models:** Ordinary Least Squares (OLS) regression, K-Means clustering, and Logistic Regression are heavily influenced by extreme values. In these cases, treatment (e.g., transformation, winsorization) or removal may be necessary.
* **Robust Models:** Tree-based algorithms (Random Forests, XGBoost) and non-parametric tests (e.g., Mann-Whitney U) are naturally resilient to outliers, making removal largely unnecessary.
#### D. The Data Distribution
* If the underlying distribution naturally exhibits "heavy tails" (e.g., wealth distributions, power-law</t>
  </si>
  <si>
    <t>Ausreißer können echte, informative Fälle sein; Entfernen verzerrt Ergebnisse; Entscheidung sollte von Ursache (Messfehler vs. echter Extremfall), Domänenwissen und Analyseziel abhängen</t>
  </si>
  <si>
    <t>A002</t>
  </si>
  <si>
    <t>What is the IQR method, and what is it used for in outlier detection?</t>
  </si>
  <si>
    <t>### What is the IQR Method?
The **Interquartile Range (IQR)** method is a non-parametric statistical technique used to measure the variability or spread of a dataset by focusing on the middle 50% of the data. 
To calculate the IQR, a dataset is ordered and divided into four equal parts (quartiles):
* **$Q_1$ (First Quartile / 25th Percentile):** The median of the lower half of the dataset.
* **$Q_2$ (Second Quartile / 50th Percentile):** The overall median of the dataset.
* **$Q_3$ (Third Quartile / 75th Percentile):** The median of the upper half of the dataset.
The IQR is calculated as:
$$\text{IQR} = Q_3 - Q_1$$
---
### How is it used for Outlier Detection?
In outlier detection, the IQR method establishes cutoff boundaries (called "fences") outside of which any data point is considered an anomaly or outlier. 
#### 1. The Outlier Formula
The upper and lower bounds are defined using a standard threshold multiplier, typically **1.5**:
* **Lower Bound:** $Q_1 - (1.5 \times \text{IQR})$
* **Upper Bound:** $Q_3 + (1.5 \times \text{IQR})$
#### 2. The Decision Rule
* Any value **less than the Lower Bound** is flagged as a potential **low outlier**.
* Any value **greater than the Upper Bound** is flagged as a potential **high outlier**.
*(Note: A multiplier of $3 \times \text{IQR}$ is sometimes used to identify "extreme outliers.")*
---
### Example Calculation
Given the dataset: `[10, 12, 14, 15, 16, 18, 20, 35]`
1. **Find $Q_1$ and $Q_3$:** 
   * $Q_1 = 13$
   * $Q_3 = 19$
2. **Calculate IQR:** 
   * $\text{IQR} = 19 - 13 = 6$
3. **Calculate Bounds:**
   * $\text{Lower Bound} = 13 - (1.5 \times 6) = 4$
   * $\text{Upper Bound} = 19 + (1.5 \times 6) = 28$
4. **Identify Outliers:**
   * The value **35** is greater than the Upper Bound (28), so it is identified as an outlier.
---
### Why Use the IQR Method?
* **Robust to Skewness:** Unlike methods based on mean and standard deviation (such as Z-scores), the IQR relies on percentiles. This means it is not easily influenced by the extreme values it aims to detect.
* **Distribution-Agnostic:** It works well on skewed datasets and does not assume that the underlying data follows</t>
  </si>
  <si>
    <t>IQR = Q3 − Q1; Ausreißergrenzen bei Q1 − 1,5·IQR und Q3 + 1,5·IQR; robust gegenüber Extremwerten, da auf Quartilen basierend</t>
  </si>
  <si>
    <t>gpt-5.6-luna</t>
  </si>
  <si>
    <t>A003</t>
  </si>
  <si>
    <t>How can you tell during an exploratory analysis whether a variable should be transformed (e.g., a log transformation)?</t>
  </si>
  <si>
    <t>During exploratory analysis, consider transforming a variable when its current scale creates clear problems for the analysis or modeling task. Useful signals include:
- **Strong skewness:** A variable with a long right tail may be more interpretable and easier to model on a log scale. Histograms, density plots, boxplots, and quantile plots can reveal this.
- **Heteroscedasticity:** If the spread of a response increases with its level—such as variability proportional to the mean—a log or square-root transformation may stabilize the variance. Check residual-versus-fitted plots or scatterplots.
- **Nonlinear relationships:** A scatterplot may show that the relationship between a predictor and response is curved. Transforming a predictor, such as using \(\log(x)\), may make the relationship more nearly linear.
- **Outlier influence:** A few very large values may dominate plots or fitted models. A transformation can reduce their leverage, although unusual observations should also be investigated rather than automatically transformed.
- **Model-diagnostic problems:** After fitting a preliminary model, patterns in residual plots, nonconstant variance, or severe departures from assumptions may suggest transforming the response or predictors.
A **log transformation** is especially reasonable when:
- Values are strictly positive.
- The variable is right-skewed.
- Ratios or relative changes are more meaningful than absolute changes.
- The standard deviation tends to increase with the mean.
- The relationship is multiplicative rather than additive.
For zero or negative values, a standard log is not defined. Possible alternatives include a justified shifted log, square-root transformation, or a transformation such as **Yeo–Johnson**. Avoid adding an arbitrary constant without considering how it affects interpretation.
Transformation is not automatically necessary merely because a variable is non-normal. For example, predictors do not generally need to be normally distributed, and many models do not require normally distributed responses. The decision should be based on the analysis goal, the relationship among variables, model diagnostics, and interpretability. Compare plots and diagnostics before and after transformation, and ensure the transformed scale still makes scientific or practical sense.</t>
  </si>
  <si>
    <t>Bei starker Schiefe oder wachsender Streuung um die Gerade (Heteroskedastizität); Ziel ist Annäherung an Symmetrie/Normalverteilung; Log-Transformation für rechtsschiefe oder multiplikative Daten</t>
  </si>
  <si>
    <t>A004</t>
  </si>
  <si>
    <t>What steps does an exploratory data analysis typically involve, and in what order are they usually carried out?</t>
  </si>
  <si>
    <t>A typical exploratory data analysis (EDA) follows this sequence, although it is often iterative:
1. **Define the objective and questions**  
   Clarify what you want to learn, the relevant variables, and any hypotheses or business questions.
2. **Obtain and understand the data**  
   Identify the data sources, units, sampling process, time period, and possible biases.
3. **Inspect the dataset structure**  
   Review the number of rows and columns, variable types, unique values, summary statistics, and relationships between tables if applicable.
4. **Assess data quality**  
   Check for:
   - Missing values
   - Duplicate records
   - Invalid or inconsistent values
   - Incorrect data types or units
   - Potential outliers
   - Data-entry and sampling issues
5. **Clean and prepare the data**  
   Correct types and formats, handle missing or invalid values, remove or resolve duplicates, and document any assumptions. Avoid modifying observations without justification.
6. **Perform univariate analysis**  
   Examine each variable individually using frequency tables, distributions, summary statistics, histograms, box plots, or bar charts.
7. **Perform bivariate and multivariate analysis**  
   Investigate relationships among variables using correlations, cross-tabulations, scatter plots, grouped summaries, and other comparative visualizations.
8. **Explore patterns, trends, and anomalies**  
   Look for time trends, seasonality, clusters, subgroup differences, nonlinear relationships, and unusual observations.
9. **Transform or engineer variables if needed**  
   Apply transformations such as scaling or logarithms, create derived variables, and encode categorical variables when useful for further analysis.
10. **Summarize findings and formulate hypotheses**  
    Record key patterns, limitations, possible explanations, and questions for formal statistical analysis or modeling.
11. **Validate and document the analysis**  
    Check that findings are robust to reasonable choices, clearly document cleaning and transformation steps, and preserve reproducible code and outputs.
EDA is not strictly linear: discoveries in later steps often lead to revisiting data-quality checks, transformations, or earlier visualizations.</t>
  </si>
  <si>
    <t>Formale Erfassung/Variablentypen, univariate Analyse (Lage, Streuung), bi-/multivariate Zusammenhänge, Prüfung fehlender/inkonsistenter Werte, Ausreißererkennung, Feature Engineering, iterativer Charakter (Deckung mit Rahmany)</t>
  </si>
  <si>
    <t>complete</t>
  </si>
  <si>
    <t>A005</t>
  </si>
  <si>
    <t>Why is exploratory data analysis not a purely automatic process, and what role does the judgment of the analyst play?</t>
  </si>
  <si>
    <t>Exploratory data analysis (EDA) is not purely automatic because data patterns cannot be interpreted independently of context, purpose, and data quality. Automated procedures can calculate summaries, produce visualizations, detect outliers, and identify correlations, but they cannot reliably determine:
- Which questions are most important
- Whether a value is a genuine anomaly or a valid but rare observation
- Whether missing data, measurement error, or sampling bias affects the results
- Which transformations, plots, or statistical summaries are appropriate
- Whether an observed pattern is meaningful, coincidental, or caused by confounding
- What domain-specific explanation best fits the evidence
The analyst’s judgment guides the process: selecting relevant variables and methods, deciding how to handle unusual or missing values, assessing assumptions, recognizing misleading patterns, and generating useful hypotheses for further investigation. EDA is therefore iterative—the analyst examines results, revises questions or methods, and investigates new possibilities.
Automation is valuable for efficiency and consistency, but it supports rather than replaces human reasoning and domain knowledge.</t>
  </si>
  <si>
    <t>Erfordert geeignete Fragen, Domänen- und Kontextwissen, interpretatives Urteil; iterativer Charakter; Rolle der analysierenden Person (Deckung mit Langer)</t>
  </si>
  <si>
    <t>A006</t>
  </si>
  <si>
    <t>What risks arise from testing too many hypotheses on the same dataset during the exploratory phase?</t>
  </si>
  <si>
    <t>Testing many hypotheses on the same dataset creates several risks:
- **Inflated false-positive rate:** Even if no real effects exist, testing enough hypotheses makes it likely that some appear statistically significant by chance.
- **Multiple-comparison problem:** Individual p-values no longer reflect the overall probability of making at least one false discovery unless adjustments are made.
- **Overfitting and “p-hacking”:** Repeatedly trying different variables, models, transformations, or subgroup definitions can tailor findings to random noise.
- **Biased effect estimates:** Selecting only promising results can exaggerate effect sizes and produce overly confident conclusions.
- **Poor reproducibility:** Findings discovered this way may fail in new samples because they capture idiosyncrasies of the original dataset.
- **Confirmation and reporting bias:** Researchers may unintentionally emphasize favorable results while overlooking nonsignificant analyses.
Exploratory testing is useful for generating hypotheses, but promising findings should generally be validated with new data, a held-out sample, or a preregistered confirmatory analysis. When appropriate, researchers can also control false discoveries using methods such as Bonferroni or false discovery rate adjustments.</t>
  </si>
  <si>
    <t>Problem des multiplen Testens (p-Hacking); steigende Rate falsch positiver Befunde; explorative Ergebnisse sind hypothesengenerierend, nicht bestätigend; unabhängige Validierung nötig</t>
  </si>
  <si>
    <t>A007</t>
  </si>
  <si>
    <t>What do the mean, median, and mode each describe, and how do they differ?</t>
  </si>
  <si>
    <t>In exploratory data analysis, the **mean**, **median**, and **mode** are the three primary **measures of central tendency**. They each aim to describe the "center" or typical value of a dataset using a single number, but they do so using different mathematical approaches.
---
### 1. What Each Measure Describes
*   **Mean (Arithmetic Average):**
    *   **What it is:** The sum of all observations divided by the total number of observations.
    *   **What it describes:** The mathematical balance point of the data. It considers the actual value of every single data point.
    *   **Example:** For the dataset `[2, 3, 4, 7, 9]`, the mean is $(2+3+4+7+9) / 5 = 5$.
*   **Median (Middle Value):**
    *   **What it is:** The exact middle value when data points are arranged in ascending or descending order (the 50th percentile). If the dataset has an even number of observations, it is the average of the two middle numbers.
    *   **What it describes:** The positional center that splits the dataset into two equal halves (50% of values fall below, 50% fall above).
    *   **Example:** For `[2, 3, 4, 7, 9]`, the median is `4`. 
*   **Mode (Most Frequent Value):**
    *   **What it is:** The value that appears most frequently in a dataset.
    *   **What it describes:** The most common, popular, or probability-dense point in the data distribution.
    *   **Example:** For `[2, 3, 3, 7, 9]`, the mode is `3`.
---
### 2. Key Differences
The differences among the three measures depend on three main factors: sensitivity to extreme values, data types, and uniqueness.
| Feature | Mean | Median | Mode |
| :--- | :--- | :--- | :--- |
| **Sensitivity to Outliers** | **High:** Extremely sensitive to extreme values or skewed data, which pull the mean away from the true center. | **Low (Robust):** Unaffected by extreme values because it relies only on order, not value magnitude. | **None:** Unaffected by extreme values; relies solely on frequency count. |
| **Data Types** | Numerical data only (Interval or Ratio scale). | Numerical and ordered categorical data (Ordinal, Interval, Ratio scale). | All data types, but particularly useful for non-numerical categorical data (Nominal scale). |
| **Uniqueness** | Always yields a single, unique value per variable. | Always yields a single, unique value per variable. | Can be **unimodal** (1 mode), **bimodal** (2 modes), **multimodal** (&gt;2 modes), or have **no mode** at all. |
---
### Summary of Analyst Use Cases
*   **Use the Mean** when your data is symmetric, continuous, and free of extreme outliers (e.g., standard height measurements).
*   **Use the Median** when your data is skewed or contains extreme outliers (e.g., household income, home values).
*   **Use the Mode** when analyzing categorical data (e.g., most common product category, preferred contact method) or identifying peak frequencies in continuous distributions.</t>
  </si>
  <si>
    <t>Mittelwert = arithmetisches Mittel (empfindlich für Ausreißer); Median = mittlerer Wert (robust); Modus = häufigster Wert (auch kategorial); Bezug zu Skalenniveaus</t>
  </si>
  <si>
    <t>A008</t>
  </si>
  <si>
    <t>When is the median preferable to the mean as a measure of central tendency, and why?</t>
  </si>
  <si>
    <t>The **median is preferable to the mean** when:
- The data are **skewed** or contain **outliers**. The median is resistant to extreme values, whereas the mean can be pulled substantially toward them.
- The variable is **ordinal** or ranked, where differences between values may not be meaningfully equal.
- The distribution is **not symmetric**, such as income, house prices, or response times.
The median represents the **middle observation** when values are ordered: half the observations are below it and half are above it. This makes it a more robust description of a “typical” value in such situations.
For approximately **symmetric distributions without substantial outliers**, the mean is often preferable because it uses all observations and generally provides greater statistical efficiency.</t>
  </si>
  <si>
    <t>Bei schiefen Verteilungen, bei Ausreißern, bei ordinalen Daten; zentrales Argument ist die Robustheit des Medians</t>
  </si>
  <si>
    <t>question_id</t>
  </si>
  <si>
    <t>A009</t>
  </si>
  <si>
    <t>Which summary statistics and visualizations are suitable for a categorical variable, and which for a metric one?</t>
  </si>
  <si>
    <t>Thema</t>
  </si>
  <si>
    <t>Here is the standard mapping of summary statistics and visualizations based on the variable type:
---
### 1. Categorical Variables
Categorical variables represent qualitative data divided into distinct groups or categories (e.g., binary, nominal, or ordinal data like gender, country, or satisfaction rating).
#### **Summary Statistics**
* **Frequency / Count:** The total number of observations in each category.
* **Relative Frequency / Percentage / Proportion:** The share of total observations that fall into each category.
* **Mode:** The most frequently occurring category.
* **Median / Range (Ordinal only):** If the categories have a natural order (e.g., *Low, Medium, High*), you can calculate positional metrics like the median and percentiles.
&gt; *Note: Means and standard deviations are **not** mathematically meaningful for categorical variables.*
#### **Visualizations**
* **Bar Chart / Column Chart:** Displays the frequency or percentage of each category (best for clear comparison).
* **Pie Chart / Donut Chart:** Shows proportions of a whole (best used when there are few categories, usually $\le 5$).
* **Pareto Chart:** A bar chart ordered by frequency alongside a line graph showing the cumulative total percentage.
---
### 2. Metric (Numerical / Continuous) Variables
Metric variables represent quantitative measurements or counts where mathematical operations are meaningful (e.g., height, revenue, age, or temperature).
#### **Summary Statistics**
* **Measures of Central Tendency:**
  * **Mean:** Arithmetic average (sensitive to outliers).
  * **Median:** Middle value (robust to outliers and skewed distributions).
  * **Mode:** Most frequent value (useful for discrete metric data).
* **Measures of Dispersion / Spread:**
  * **Standard Deviation &amp; Variance:** Measures how spread out the data is around the mean.
  * **Interquartile Range (IQR):** Range between the 25th and 75th percentiles (robust to outliers).
  * **Range:** Difference between Maximum and Minimum.
* **Measures of Position &amp; Shape:**
  * **Minimum &amp; Maximum**
  * **Percentiles / Quartiles**
  * **Skewness:** Measures asymmetry of the distribution.
  * **Kurtosis:** Measures the "tailedness" / extremity of potential outliers.
#### **Visualizations**
* **Histogram:** Displays the frequency distribution of continuous data divided into contiguous bins.
* **Box Plot (Box-and-Whisker):** Displays median, quartiles, and potential outliers in a compact form.
* **Density Plot (KDE):** A smoothed version of a histogram showing the probability density function.
* **Violin Plot:** Combines a box plot with a kernel density plot to show both summary stats and distribution shape.
* **QQ-Plot (Quantile-Quantile):** Evaluates if the variable follows a specific theoretical distribution (like a Normal distribution).
---
### Quick Reference Summary
| Feature | Categorical Variable | Metric Variable |
| :--- | :--- | :--- |</t>
  </si>
  <si>
    <t>Kategorial = Häufigkeiten, Modus, Balkendiagramm, Kontingenztabelle; metrisch = Mittelwert/Median, Streuungsmaße, Histogramm/Boxplot</t>
  </si>
  <si>
    <t>A010</t>
  </si>
  <si>
    <t>When is a boxplot preferable to a histogram, and when is it the other way around?</t>
  </si>
  <si>
    <t>### Prefer a boxplot when:
- You want a **compact summary** of a numeric variable: median, quartiles, spread, and potential outliers.
- You need to **compare distributions across many groups** efficiently.
- The main focus is on **relative location and variability** rather than the exact distributional shape.
- Space is limited or you are making a concise report.
- You have moderate or large samples and want to highlight possible outliers.
A boxplot is especially useful for comparing, for example, test scores across several classes.
### Prefer a histogram when:
- You want to examine the **shape of a single distribution** in detail.
- Features such as **skewness, multiple modes, gaps, clusters, or unusual peaks** matter.
- You want to assess whether data may be approximately symmetric or normally distributed.
- You need to see how observations are distributed across the range, rather than only summary statistics.
A histogram is useful for identifying, for example, whether customer ages have one concentration or several distinct age groups.
### Key limitation
A boxplot can hide important structure, such as bimodality or clusters. A histogram shows more detail but is sensitive to the choice of **bin width and bin boundaries**, and comparing many histograms can be cumbersome.
In practice, use both when possible: a boxplot for concise comparison and a histogram—or a density plot/ECDF—for distributional detail.</t>
  </si>
  <si>
    <t>Boxplot für Lage, Streuung, Ausreißer und kompakten Gruppenvergleich; Histogramm für die Form der Verteilung (Modalität, Schiefe, Lücken), die der Boxplot verbirgt</t>
  </si>
  <si>
    <t>Punktzahl</t>
  </si>
  <si>
    <t>A011</t>
  </si>
  <si>
    <t xml:space="preserve">During exploratory data analysis (EDA), you can determine whether a variable needs a transformation by evaluating its **distribution**, **relationship with other variables**, and **summary statistics**.
Here are the primary indicators:
---
### 1. Visual Indicators (Graphical Analysis)
* **Highly Skewed Histograms or Density Plots:** 
  * If a histogram shows a long right tail (right-skewed/positively skewed), a **log** or **square root** transformation will pull extreme values closer to the center.
  * If it has a long left tail (left-skewed), a **power transformation** (e.g., squaring the variable) may be needed.
* **Q-Q Plots (Quantile-Quantile Plots):**
  * If the points curve away significantly from the straight diagonal reference line, the data violates the assumption of normality.
* **Scatter Plots with Funneling (Heteroscedasticity):**
  * In a scatter plot between an independent variable ($X$) and a target ($Y$), if the spread/variance of points increases or decreases as $X$ increases (a funnel shape), transforming $Y$ (often with a log transform) can stabilize the variance.
* **Non-Linear Scatter Plots:**
  * If the relationship between two variables shows a curve (e.g., exponential growth) rather than a straight line, a log transformation on $X$, $Y$, or both can linearize the relationship.
---
### 2. Statistical Indicators (Quantitative Metrics)
* **Skewness Coefficient:**
  * As a rule of thumb:
    * **$|\text{Skewness}| &gt; 1$:** Highly skewed; strongly candidate for transformation.
    * **$0.5 &lt; |\text{Skewness}| &lt; 1$:** Moderately skewed; transformation may help depending on the model.
* **Mean vs. Median Discrepancy:**
  * If the mean is significantly higher than the median, the variable is right-skewed by large outliers.
* **Orders of Magnitude Ratio:**
  * If the ratio of the maximum value to the minimum non-zero value is very large (e.g., $\frac{\text{Max}}{\text{Min}} &gt; 100$ or spans several orders of magnitude), a log scale is usually appropriate.
---
### 3. Variable Domain and Context
Certain types of real-world variables inherently follow a log-normal distribution and almost always benefit from a log transformation:
* **Financial data:** Income, prices, transaction amounts, sales volume.
* **Count/Scale data:** Population sizes, website clicks, call durations, biological measurements.
---
### Key Considerations for Log Transformation
* **Positive Values Only:** Standard log transformations ($\log(x)$) require $x &gt; 0$. 
  * If data contains **zeros**, use $\log(x + </t>
  </si>
  <si>
    <t>A054</t>
  </si>
  <si>
    <t>A012</t>
  </si>
  <si>
    <t>E0_01</t>
  </si>
  <si>
    <t>During Exploratory Data Analysis (EDA), you can determine whether a continuous variable requires a transformation—such as a log, square root, or Box-Cox transformation—by examining its **distribution**, **statistical metrics**, **relationships with other variables**, and **domain context**.\n\nHere are the primary indicators:\n\n---\n\n### 1. Visual Indicators (Distributional Plots)\n* **Right-Skewed Histograms or KDE Plots:** If a histogram shows a high concentration of data points on the left and a long tail extending to the right (positive skewness), it is a prime candidate for a log or root transformation.\n* **Q-Q Plots (Quantile-Quantile):** If points deviate significantly from the straight diagonal reference line at the upper or lower ends, the variable is non-normally distributed.\n* **Box Plots with Long Upper Tails:** A box plot showing a condensed interquartile range (IQR) near the bottom and numerous outliers extending high above the upper whisker indicates a severe right-skew.\n\n### 2. Summary Statistics &amp; Metrics\n* **Skewness Coefficient:** \n * A skewness value **greater than +1.0** indicates strong right-skewness, suggesting a log or power transformation would be beneficial.\n * *Note:* A log transformation is generally applied to **right-skewed** data. Left-skewed data (skewness &lt; -1.0) usually requires reflection or square/exponential transformations.\n* **Mean vs. Median Discrepancy:** If the mean is significantly larger than the median ($\\text{Mean} \\gg \\text{Median}$), the variable is heavily pulled by large extreme values.\n* **Multiple Orders of Magnitude:** If the variable ranges across several powers of 10 (e.g., values ranging from $10$ to $10,000,000$), a log transformation scales the variable down to a manageable, comparable range.\n\n### 3. Bivariate Relationships (Scatter Plots)\n* **Heteroscedasticity (Non-Constant Variance):** In a scatter plot of the target variable versus a predictor, if the spread of data points forms a \"funnel\" or \"cone\" shape (variance increases as the variable magnitude increases), a log transformation helps stabilize the variance.\n* **Non-Linear Relationships:** If the relationship between an independent variable $X$ and dependent variable $Y$ appears exponential or curved rather than linear, transforming $X$, $Y$, or both can linearize the relationship for linear modeling.\n\n### 4. Mathematical Optimization Tools\n* **Box-Cox Transformation ($\\lambda$ estimation):** Box-Cox tests a family of power transformations and outputs an optimal parameter ($\\lambda$).\n * If $\\lambda \\approx 0$, a **log transformation** is mathematically optimal.\n * If $\\lambda \\approx 0.5$, a **square root transformation** is optimal.\n* **Yeo-Johnson Transformation:** Similar to Box-Cox, but works when the variable includes zero or negative values.\n\n### 5. Data Type &amp; Domain Context\nCertain data types naturally follow multiplicative or power-law distributions rather than additive (normal"</t>
  </si>
  <si>
    <t>Schritte der EDA</t>
  </si>
  <si>
    <t>A013</t>
  </si>
  <si>
    <t>Testing many hypotheses on the same dataset creates several risks:
- **Inflated false-positive rate:** Even if no real effects exist, some tests may appear statistically significant by chance. At a 5% significance level, testing 20 independent hypotheses can produce at least one false positive with probability about 64%.
- **P-hacking and selective reporting:** Repeatedly analyzing the data and reporting only significant findings can make results look stronger than they are.
- **Overfitting:** Hypotheses may be tailored to random noise in the sample, leading to poor performance on new data.
- **Biased effect estimates:** Selected “significant” findings often exaggerate the true effect size.
- **Invalid uncertainty estimates:** Standard p-values and confidence intervals usually assume the analyses were specified in advance and do not account for the search process.
- **Reduced reproducibility:** Findings discovered through extensive data exploration may fail to replicate in independent samples.
Exploratory analysis is valuable for generating hypotheses, but promising findings should generally be tested with independent data, a holdout sample, or appropriately adjusted methods for multiple comparisons.</t>
  </si>
  <si>
    <t>A014</t>
  </si>
  <si>
    <t>What is the difference between univariate, bivariate, and multivariate analysis?</t>
  </si>
  <si>
    <t>- **Univariate analysis** examines **one variable** at a time.  
  - Purpose: understand its distribution, central tendency, and variability.  
  - Examples: mean income, age histogram, or the proportion of customers who churn.
- **Bivariate analysis** examines the relationship between **two variables**.  
  - Purpose: determine whether and how the variables are associated.  
  - Examples: correlation between income and spending, a scatterplot of height versus weight, or a cross-tabulation of gender and purchase status.
- **Multivariate analysis** examines **three or more variables simultaneously**.  
  - Purpose: analyze relationships while accounting for multiple factors, interactions, or potential confounding variables.  
  - Examples: multiple linear regression predicting house price from size, location, and age; or cluster analysis using several customer attributes.
In short: **univariate = one variable, bivariate = two, multivariate = three or more**.</t>
  </si>
  <si>
    <t>Univariat = eine Variable (Verteilung/Lage/Streuung); bivariat = Zusammenhang zweier Variablen; multivariat = mehrere Variablen gleichzeitig</t>
  </si>
  <si>
    <t>A015</t>
  </si>
  <si>
    <t>Removing outliers without proper context or justification is a major risk in exploratory data analysis and predictive modeling. 
Here is a breakdown of why simple removal is problematic and what criteria should guide the decision.
---
### 1. Why Removing Outliers Can Be Problematic
* **Loss of Real-World Information:** Outliers often represent rare, valid events (e.g., market crashes, extreme weather, high-value transactions). Removing them strips the dataset of real-world complexity and edge cases.
* **Model Failure in Production:** If a machine learning model is trained on data where extreme values were removed, it will fail or make severe errors when it encounters those same extreme values in a production environment.
* **Underestimation of Variance and Risk:** Stripping extreme values artificially narrows confidence intervals, reduces variance, and overinflates metrics like $R^2$ or $p$-values. This creates a false sense of certainty and hides tail risk.
* **Masking Systemic Issues or Insights:** Outliers are often the most informative data points. They can signal system bugs, fraud, cyberattacks, or emerging customer segments. Deleting them destroys the signal.
* **Arbitrary Distortions:** Statistical thresholds (e.g., $Z\text{-score} &gt; 3$ or $1.5 \times \text{IQR}$) are rules of thumb, not absolute rules. Applying them mechanically without domain context can lead to biased datasets.
---
### 2. What the Decision Should Depend On
The decision to remove, keep, or transform an outlier should depend on the following factors:
#### A. The Source/Cause of the Outlier
* **Data Entry or Measurement Error:** If a human age is recorded as `200` or a temperature sensor glitched to `-999`, the value is objectively wrong. **Action:** Correct, remove, or impute.
* **Sampling Error:** If the outlier belongs to a population outside the scope of your analysis (e.g., a corporate account in a consumer retail study). **Action:** Remove or segment out.
* **Natural/Legitimate Variation:** If the value is extreme but valid (e.g., an unusually large purchase by a high-net-worth individual). **Action:** Retain, transform, or handle with robust methods.
#### B. Domain Knowledge
A data analyst must consult subject matter experts to determine if a value is **physically or logically impossible** versus **rare but possible**. Context dictates whether an extreme value is noise or signal.
#### C. The Objective of</t>
  </si>
  <si>
    <t>Antwort bricht am Ende ab, aber relevante Kernpunkte sind vollständig erhalten</t>
  </si>
  <si>
    <t>A016</t>
  </si>
  <si>
    <t>Removing outliers automatically can be problematic because:
- They may be valid, rare observations rather than errors.
- They may contain important information about unusual behavior or risk.
- Their removal can bias estimates, reduce sample size, and hide meaningful variation.
- An apparent outlier may result from a real subgroup or a non-linear relationship.
- Different outlier-detection rules can produce different conclusions.
The decision should depend on the **cause and context of the outlier**, not just its statistical extremeness. Consider whether it is a data-entry or measurement error, whether it belongs to the target population, the goals of the analysis, and relevant domain knowledge. Results should often be compared with and without the observations, or analyzed using robust methods, rather than removing them automatically.</t>
  </si>
  <si>
    <t>A017</t>
  </si>
  <si>
    <t>A Pearson correlation coefficient close to zero is calculated. Why does this not necessarily mean that no relationship exists?</t>
  </si>
  <si>
    <t>A Pearson correlation measures only the **strength of a linear relationship** between two variables. A value near zero means there is little or no linear association, but the variables may still have a strong **nonlinear** relationship.
For example, if \(Y = X^2\) and \(X\) is symmetrically distributed around zero, the correlation between \(X\) and \(Y\) can be approximately zero even though \(Y\) is completely determined by \(X\) in a U-shaped pattern.
Thus, a near-zero Pearson correlation does not imply independence or the absence of any relationship. Scatterplots and other measures, such as rank correlations or nonlinear modeling, can help identify such patterns.</t>
  </si>
  <si>
    <t>Pearson misst nur lineare Zusammenhänge; ein nichtlinearer Zusammenhang kann trotz Koeffizient nahe null bestehen; Streudiagramm zur Prüfung nötig</t>
  </si>
  <si>
    <t>A018</t>
  </si>
  <si>
    <t>Testing too many hypotheses on the same dataset during the exploratory phase—often referred to as **data dredging**, **p-hacking**, or **data snooping**—introduces several critical statistical and methodological risks:
### 1. Inflation of False Positives (Type I Errors)
This is the primary statistical risk, known as the **Multiple Testing Problem**. 
* When running a single hypothesis test at a standard significance level ($\alpha = 0.05$), there is a 5% chance of rejecting a true null hypothesis (a false positive).
* As you increase the number of tests ($k$), the probability of getting *at least one* false positive—the Family-Wise Error Rate (FWER)—increases exponentially:
  $$\text{FWER} = 1 - (1 - \alpha)^k$$
* **Example:** If you test 20 independent hypotheses on the same dataset at $\alpha = 0.05$, the probability of finding at least one "statistically significant" result purely by random chance rises to approximately **64%** ($1 - 0.95^{20}$).
### 2. Overfitting to Noise
By exhaustively testing relationships, variables, and subgroups, you risk mistaking random sample noise for true underlying signals. The patterns you discover may be artifacts unique to that specific sample rather than properties of the broader population.
### 3. Lack of Reproducibility and Generalizability
Findings derived from exploratory hyper-testing rarely hold up when tested on new, unseen data (out-of-sample validation). This contributes directly to the "reproducibility crisis," where published or deployed insights fail to replicate in real-world settings.
### 4. Confirmation Bias and Narrative Fallacy
When analysts test dozens of potential relationships, it is easy to unconsciously select only the results that fit a preferred business logic or intuition while ignoring the dozens of non-significant results. This creates a compelling but false narrative built entirely on cherry-picked noise.
### 5. Misallocation of Organizational Resources
Acting on false discoveries leads to wasted business resources—such as launching unnecessary product features, pursuing flawed strategic pivots, or building downstream predictive models using uninformative predictor variables.
---
### How Analysts Mitigate These Risks:
* **Treat EDA as Hypothesis-Generating, Not Hypothesis-Confirming:** Frame findings from exploratory testing strictly as candidates for future validation.
* **Dataset Splitting:** Keep an untouched **test/holdout set** (or perform cross-validation). Generate hypotheses on the exploratory set, and confirm them *only once* on the holdout set.
* **Apply Multiple Testing Corrections:** Use adjustments like the **Bonferroni correction** (to strictly control FWER) or the **Benjamini-Hochberg procedure** (to control the False Discovery Rate).</t>
  </si>
  <si>
    <t>A019</t>
  </si>
  <si>
    <t>A078</t>
  </si>
  <si>
    <t>What does a correlation coefficient not tell you, and what are common fallacies in interpreting it?</t>
  </si>
  <si>
    <t>In exploratory data analysis, the correlation coefficient (most commonly Pearson’s $r$) measures the strength and direction of a **linear relationship** between two continuous variables. 
While useful, it has major blind spots. Here is a precise breakdown of what a correlation coefficient does not tell you, followed by common fallacies in its interpretation.
---
### Part 1: What a Correlation Coefficient DOES NOT Tell You
1. **Causation or Directionality**
   * It indicates that two variables move together, but it does not tell you if $X$ causes $Y$, if $Y$ causes $X$, if both are caused by a third variable ($Z$), or if the alignment is pure coincidence.
2. **Non-Linear Relationships**
   * Pearson’s correlation only evaluates *linearity*. If two variables have a strong non-linear relationship (e.g., U-shaped/quadratic, exponential, or sinusoidal), the correlation coefficient can be close to zero even though a deterministic relationship exists.
3. **The Slope or Magnitude of Effect**
   * A correlation coefficient of $r = 0.99$ indicates a very tight linear fit, but it tells you nothing about the steepness of the line. $Y$ could increase by $1,000$ units for every unit of $X$, or by $0.0001$ units. Slope is measured by regression coefficients, not correlation.
4. **Underlying Data Distribution and Structure**
   * A single summary statistic like $r$ hides the underlying structure of the data. Datasets with completely different visual patterns, clusters, or outliers can produce the exact same correlation coefficient (e.g., **Anscombe’s Quartet** or the **Datasaurus Dozen**).
5. **The Presence of Outliers**
   * $r$ is highly sensitive to outliers. A single extreme data point can artificially inflate a weak relationship near $0$ up to $0.8$, or pull a strong correlation down to near $0$.
6. **Confounding Variables (Third-Variable Problem)**
   * $r$ evaluates variables in isolation. It cannot tell you if the observed association disappears or reverses once you control for confounding variables.
---
### Part 2: Common Fallacies in Interpretation
1. **The "Correlation Implies Causation" Fallacy (*Cum Hoc Ergo Propter Hoc*)**
   * **The Error:** Assuming that because $X$ and $Y$ are correlated, changing $X$ will cause a change in $Y$.
   * **Example:** Ice cream sales and shark attacks are positively correlated. Mistakenly concluding that</t>
  </si>
  <si>
    <t>Keine Kausalität; Pearson erfasst nur lineare Zusammenhänge; anfällig für Ausreißer; Scheinkorrelation/Störfaktor möglich. Kernfehler: Gleichsetzung von Korrelation und Kausalität</t>
  </si>
  <si>
    <t>A020</t>
  </si>
  <si>
    <t>Removing outliers solely because they are unusually large or small can be problematic because they may represent:
- **Valid, rare observations** that are important to the phenomenon being studied.
- **Natural variation** in the population rather than errors.
- **Meaningful subgroups** or special cases.
- **Data-entry, measurement, or processing errors**—which may require correction rather than simple deletion.
Removing them can bias estimates, reduce genuine variability, distort relationships, and make results appear stronger or more “normal” than they really are.
The decision should depend on the **source and meaning of the observation**, the **data-collection and measurement process**, the **research question**, and whether there is a defensible, documented rule for identifying errors or observations outside the target population. Outlier decisions should ideally be supported by domain knowledge and sensitivity analyses comparing results with and without the observations.</t>
  </si>
  <si>
    <t>A021</t>
  </si>
  <si>
    <t>A correlation coefficient—usually Pearson’s \(r\)—summarizes the **direction and strength of a linear association** between two variables, ranging from \(-1\) to \(+1\). It does **not** by itself tell you:
- **Causation:** A correlation does not show that changes in one variable cause changes in the other.
- **The causal direction:** Even if causation exists, \(X\) may cause \(Y\), \(Y\) may cause \(X\), or both.
- **Whether the relationship is nonlinear:** A strong curved relationship can have \(r \approx 0\).
- **Whether the association is free of confounding:** A third variable may influence both variables.
- **How well one variable predicts individual outcomes:** A moderate or high correlation can still produce substantial prediction errors.
- **Statistical or practical significance by itself:** Significance depends partly on sample size, and a statistically significant association may be too small to matter in practice.
- **Whether the result generalizes:** Selection bias, a narrow range of values, or a particular population can make the correlation nonrepresentative.
- **The presence of subgroups or changing relationships:** An overall correlation can conceal opposite or very different patterns within groups.
- **Whether the two measures agree:** Two measurements can correlate highly while one is consistently higher than the other.
- **The absence of data problems:** Outliers, measurement error, missing data, and data manipulation can strongly affect the coefficient.
### Common interpretation fallacies
1. **“Correlation implies causation.”**  
   Ice-cream sales and drownings may correlate because both increase with warm weather; ice cream does not cause drowning.
2. **“No correlation means no relationship.”**  
   If \(Y=X^2\) and \(X\) is centered around zero, Pearson’s \(r\) can be near zero despite a clear nonlinear relationship.
3. **“A high correlation proves a strong causal effect.”**  
   It may result from a confounder, shared time trend, or mathematical relationship.
4. **“A low correlation means the variables are unrelated.”**  
   It may reflect nonlinearity, restricted variability, noisy measurements, or distinct subgroups.
5. **“Statistical significance means practical importance.”**  
   With a large sample, a very small correlation can be statistically significant.
6. **“The correlation applies equally to everyone.”**  
   Aggregated data can mask subgroup-specific relationships—a form of ecological or aggregation bias.
7. **“A correlation of 0.8 means predictions are 80% accurate.”**  
   The coefficient is not an accuracy percentage. For Pearson correlation, \(r^2\) is sometimes interpreted as the proportion of linear variance explained, but it is not the same as prediction accuracy.
8. **“A high correlation means the measures can be used interchangeably.”**  
   Correlation assesses association, not agreement or absence of systematic bias.
9. **“A correlation found after many tests is automatically meaningful.”**  
   Testing many variable pairs increases the chance of finding a correlation by chance unless multiple comparisons are addressed.
A correlation should therefore be examined alongside a scatterplot, sample size and uncertainty, possible confounders, subgroup patterns, measurement quality, and—when relevant—a causal research design.</t>
  </si>
  <si>
    <t>A022</t>
  </si>
  <si>
    <t>What does skewness of a distribution mean, and what consequences does a strongly skewed distribution have for the choice of summary statistics?</t>
  </si>
  <si>
    <t>**Skewness** describes the asymmetry of a distribution around its center. It is often quantified by the standardized third central moment:
\[
\text{skewness}=\frac{E[(X-\mu)^3]}{\sigma^3}.
\]
- **Positive (right) skewness:** a long or heavy tail toward larger values. Typically, the mean is greater than the median.
- **Negative (left) skewness:** a long or heavy tail toward smaller values. Typically, the mean is less than the median.
- **Near-zero skewness:** roughly symmetric, though zero skewness does not guarantee perfect symmetry.
A strongly skewed distribution has important implications for summaries:
- The **mean** can be pulled substantially toward the long tail and may not represent a “typical” observation well.
- The **standard deviation** can also be strongly affected by extreme values.
- The **median** is more robust and often better represents the center.
- The **interquartile range (IQR)** or other quantiles are usually preferable to the standard deviation for describing spread.
- It is often useful to report several percentiles, such as the 25th, 50th, and 75th percentiles, rather than relying only on mean ± standard deviation.
- For positive, right-skewed measurements such as income or concentrations, a **log transformation** may make the distribution more symmetric; summaries can then be reported on the original scale using appropriate measures such as the geometric mean.
Thus, for a strongly skewed distribution, a typical summary would be the **median and IQR**, possibly supplemented by the mean and standard deviation if they are substantively meaningful.</t>
  </si>
  <si>
    <t>Bei Schiefe fallen Mittelwert, Median und Modus auseinander; der Mittelwert wird durch den Ausläufer verzerrt, daher ist bei starker Schiefe der Median robuster; rechtsschiefe Daten können durch Wurzel- oder Log-Transformation angenähert werden</t>
  </si>
  <si>
    <t>A023</t>
  </si>
  <si>
    <t>How can the choice of visualization (e.g., axis scaling, bin width) influence the interpretation of the data?</t>
  </si>
  <si>
    <t>Visualization choices can substantially affect the patterns viewers perceive, even when the underlying data are unchanged.
- **Axis scaling**
  - A **truncated y-axis** can exaggerate small differences. For example, values of 95 and 100 look very different if the axis starts at 90, but nearly identical if it starts at 0.
  - A very broad axis range can make meaningful variation appear negligible.
  - **Logarithmic scales** are useful for data spanning several orders of magnitude and can reveal multiplicative relationships, but they may obscure absolute differences and are unsuitable for zero or negative values.
  - Unequal or misleading aspect ratios can make trends appear steeper or flatter than they are.
- **Histogram bin width**
  - **Narrow bins** may reveal important detail but can also make random noise look like meaningful structure.
  - **Wide bins** produce a smoother distribution but may hide multimodality, outliers, or gaps.
  - Different bin starting points can lead to noticeably different-looking histograms, so conclusions should be checked across reasonable settings.
- **Aggregation and smoothing**
  - Averages can conceal variation, subgroup differences, or outliers.
  - Moving averages, trend lines, and other smoothing methods can emphasize broad patterns while hiding short-term changes.
- **Color and ordering**
  - Color scales that are not perceptually uniform can overemphasize some values.
  - Poor category ordering may conceal trends; ordering by value can make patterns clearer but may imply a ranking that is not substantively meaningful.
  - Color choices can also create accessibility problems or misleading visual contrasts.
- **Choice of chart type**
  - Line charts suggest continuity and are appropriate for ordered measurements, whereas connecting unrelated categories can imply a false trend.
  - Pie charts make precise comparisons difficult; bars or dot plots often communicate differences more accurately.
  - Maps can make areas appear important even when the relevant quantity is population-based, unless values are normalized.
To reduce misinterpretation, use scales appropriate to the data, label axes clearly, avoid unnecessary truncation, test multiple bin widths or smoothing levels, show uncertainty where relevant, and compare visualizations against the raw data.</t>
  </si>
  <si>
    <t>A088</t>
  </si>
  <si>
    <t>Achsenskalierung (linear vs. logarithmisch, abgeschnittene Achsen) und Bin-Breite verändern die wahrgenommene Verteilung/Modalität; Bewusstsein für irreführende Darstellungen</t>
  </si>
  <si>
    <t>A024</t>
  </si>
  <si>
    <t>A Pearson correlation coefficient ($r$) close to zero does not mean there is no relationship because **the Pearson coefficient only measures the strength and direction of a *linear* relationship** between two continuous variables. 
Here are the primary reasons why a meaningful relationship might still exist when $r \approx 0$:
### 1. Non-Linear Relationships
If the relationship between two variables is non-linear (e.g., quadratic, exponential, sinusoidal, or U-shaped), the Pearson correlation coefficient can fail completely to capture it.
* **Example:** Consider the equation $y = x^2$ for values of $x$ ranging from $-10$ to $+10$. There is a deterministic, perfect mathematical relationship between $x$ and $y$. However, because the negative slope on the left side cancels out the positive slope on the right side, the Pearson correlation coefficient will be exactly $0$.
### 2. Presence of Outliers
A few extreme outliers can skew the calculation, masking a strong linear relationship that exists for the vast majority of the data points, pulling the overall correlation coefficient toward zero.
### 3. Subgroup Differences (Simpson's Paradox)
There may be a strong positive or negative relationship within specific sub-categories of the data, but when combined without controlling for a categorical variable, the overall correlation averages out to zero.
### 4. Heteroscedasticity / Complex Patterns
Data points may form geometric patterns (like a circle, diamond, or wave) where $Y$ varies systematically with $X$, but the average linear trend line remains flat.
---
### Key Takeaway for Data Analysis
A Pearson correlation coefficient close to zero only means **"no linear relationship."** To determine if a relationship actually exists, you should always **visualize the data using a scatter plot** before drawing conclusions.</t>
  </si>
  <si>
    <t>A025</t>
  </si>
  <si>
    <t>In exploratory data analysis (EDA), both boxplots and histograms visualize the distribution of a continuous variable, but they highlight different structural aspects of the data. 
Here is a precise guide on when to use each visual.
---
### **When a Boxplot is Preferable**
A boxplot summarizes data using a **five-number summary** (minimum, first quartile, median, third quartile, maximum) along with explicit outlier points.
1. **Comparing Multiple Categories Side-by-Side:**
   * **Reason:** Boxplots are compact and highly scalable. You can easily compare 10 or 20 distinct groups (e.g., salaries across 15 different departments) in a single plot without visual overload.
2. **Explicit Outlier Detection:**
   * **Reason:** Outliers are mathematically defined (typically points beyond $1.5 \times \text{IQR}$) and explicitly plotted as distinct points, making extreme values immediately identifiable.
3. **Focus on Robust/Non-Parametric Summary Metrics:**
   * **Reason:** When data is heavily skewed and you want to focus directly on the median and Interquartile Range (IQR) rather than the mean and standard deviation.
4. **Space-Constrained Visuals:**
   * **Reason:** Boxplots require minimal screen or page real estate to convey summary metrics compared to full frequency distributions.
---
### **When a Histogram is Preferable**
A histogram displays the **frequency or density of data points across contiguous intervals (bins)**, showing the continuous shape of the dataset.
1. **Identifying Modality (Unimodal, Bimodal, Multimodal):**
   * **Reason:** A boxplot **hides modality**. A bimodal distribution (e.g., peak at 20 and peak at 80) can look identical to a uniform distribution in a boxplot. A histogram clearly reveals multiple peaks, clusters, or zero-inflated regions.
2. **Detailed Analysis of a Single Distribution:**
   * **Reason:** When performing an in-depth analysis on one (or a few) continuous variables, histograms show the exact shape, skewness, and continuous behavior of the data.
3. **Spotting Local Anomalies and Gaps:**
   * **Reason:** Histograms make it easy to spot specific features like unnatural rounding (e.g., large spikes at round numbers like 50, 100), unexpected gaps in data, or hard upper/lower cutoffs (truncation).
4. **Audience Interpretability:**
   * **Reason:** Non-technical stakeholders intuitively understand height = frequency. Boxplots require the audience to understand quartiles, medians, and IQR logic.
---
### **Summary Comparison Matrix**
| Metric / Scenario | Boxplot | Histogram |
| :--- | :--- | :--- |
| **Comparing 5+ Categories** | **Preferred** (Clean, side-by-side comparison) | Poor (Overlaid/faceted histograms get messy) |
| **Detecting Modality (e.g., Bimodal data)** | Poor (</t>
  </si>
  <si>
    <t>A026</t>
  </si>
  <si>
    <t>The **IQR (interquartile range) method** is a rule-based approach for identifying potential outliers in numerical data.
1. Compute the first quartile (**Q1**, the 25th percentile) and third quartile (**Q3**, the 75th percentile).
2. Calculate the interquartile range:
\[
\mathrm{IQR} = Q3 - Q1
\]
3. Define the outlier fences:
\[
\text{Lower fence} = Q1 - 1.5(\mathrm{IQR})
\]
\[
\text{Upper fence} = Q3 + 1.5(\mathrm{IQR})
\]
Observations below the lower fence or above the upper fence are commonly flagged as **potential outliers**.
The method is used because it is **robust to extreme values** and does not require the data to follow a normal distribution. It is often applied during exploratory data analysis, although flagged values should be investigated rather than automatically removed, since they may represent valid extreme observations or data-quality problems.</t>
  </si>
  <si>
    <t>A027</t>
  </si>
  <si>
    <t>| Variable type | Suitable summary statistics | Suitable visualizations |
|---|---|---|
| **Categorical** (nominal or ordinal) | - Frequency/count for each category  &lt;br&gt;- Percentages or proportions  &lt;br&gt;- Mode  &lt;br&gt;- Number of distinct categories  &lt;br&gt;- Missing-value count and percentage  &lt;br&gt;- For ordinal variables: cumulative percentages and possibly median/quantiles, if category order is meaningful | - Bar chart of counts or percentages  &lt;br&gt;- Ordered bar chart for ordinal categories  &lt;br&gt;- Pareto chart  &lt;br&gt;- Grouped or stacked bar charts when comparing groups  &lt;br&gt;- Mosaic plot or heatmap for two categorical variables  &lt;br&gt;- Pie charts can be used, but are generally less effective than bars |
| **Metric** (quantitative numerical) | - Count and missing-value count  &lt;br&gt;- Mean  &lt;br&gt;- Median  &lt;br&gt;- Standard deviation and variance  &lt;br&gt;- Minimum, maximum, range  &lt;br&gt;- Quartiles and interquartile range (IQR)  &lt;br&gt;- Skewness and other shape measures, when relevant  &lt;br&gt;- Robust summaries such as median and IQR when outliers or skewness are present | - Histogram  &lt;br&gt;- Density plot  &lt;br&gt;- Box plot  &lt;br&gt;- Violin plot  &lt;br&gt;- ECDF  &lt;br&gt;- Q–Q plot for distributional assessment  &lt;br&gt;- Scatter plot when comparing two metric variables  &lt;br&gt;- Line chart for measurements over time |
Important distinctions:
- Do not calculate a mean or standard deviation for a **nominal** categorical variable; category labels have no numerical meaning.
- For **ordinal** variables, the ordering is meaningful, but distances between categories may not be. Frequencies and ordered bar charts are usually safest; medians or numerical coding require care.
- For a metric variable, report both **mean and standard deviation** when the distribution is roughly symmetric, and **median and IQR** when it is skewed or contains outliers.
- When examining a metric variable across categories, use grouped boxplots, violin plots, or summary tables by category.</t>
  </si>
  <si>
    <t>A028</t>
  </si>
  <si>
    <t>Testing too many hypotheses on the same dataset during the exploratory phase introduces several significant statistical and practical risks. The primary underlying issue is the **Multiple Comparisons Problem** (or Multiple Testing Problem). 
Here are the specific risks that arise:
### 1. Inflation of the Type I Error Rate (False Positives)
When conducting a standard statistical hypothesis test at a significance level of $\alpha = 0.05$, there is a 5% chance of incorrectly rejecting a true null hypothesis (a false positive). 
As you increase the number of tested hypotheses ($k$), the probability of committing at least one Type I error across all tests—known as the **Family-Wise Error Rate (FWER)**—increases exponentially:
$$\text{FWER} = 1 - (1 - \alpha)^k$$
*   For **1 test**, the risk of at least one false positive is **5%**.
*   For **20 tests**, the risk rises to approximately **64%**.
*   For **100 tests**, the risk rises to **99.4%**.
Without adjustments, you are almost guaranteed to find statistically "significant" results that are merely random noise.
### 2. Data Dredging and "P-Hacking"
Searching through a dataset for any statistically significant relationship without an *a priori* (pre-defined) hypothesis leads to **data dredging** (also called data snooping or p-hacking). When hypotheses are generated *after* looking at the data, the calculated $p$-values lose their statistical validity because the test choice was conditioned on the observed data.
### 3. Overfitting and Lack of Generalizability
Patterns that appear statistically significant due to random fluctuations in the exploratory dataset will not replicate in new, unseen data. If these findings are used to build predictive models or inform policy, the resulting models will suffer from **overfitting**—performing well on the exploratory sample but failing completely in production or out-of-sample validation.
### 4. Misallocation of Time and Resources
Acting on false positives can lead an organization to invest resources, launch products, or conduct expensive confirmatory studies based on spurious correlations. 
### 5. False Confidence and Confirmation Bias
Analytes risk constructing convincing narrative explanations ("storytelling") around random noise once a $p$-value crosses the standard $0.05$ threshold, creating a false sense of scientific or business insight.
---
### Standard Mitigation Strategies
To counter these risks during or after exploratory analysis, analysts use:
*   **Data Splitting:** Divide the dataset into an *Exploratory/Training set* (to generate hypotheses) and a *Holdout/Validation set* (to test only the best hypotheses).
*   **Statistical Corrections:** Apply methods to adjust $p$-values or significance thresholds, such as the **Bonferroni correction**</t>
  </si>
  <si>
    <t>A029</t>
  </si>
  <si>
    <t>A **boxplot is preferable** when you want to:
- Summarize a distribution compactly using the median, quartiles, spread, and potential outliers.
- Compare a numeric variable across many groups or categories.
- Use limited space or present results in a concise report.
- Avoid choosing histogram bin widths.
A **histogram is preferable** when you want to:
- Examine the distribution’s detailed shape.
- Identify modes, skewness, gaps, clusters, or unusual features.
- Understand how observations are distributed across the numeric range.
- Explore a single variable or a small number of distributions.
**Key limitation:** Boxplots can hide important structure, such as bimodality or clusters, because different distributions can have the same five-number summary. Histograms reveal more shape, but their appearance depends on the bin width and bin boundaries.
In practice, use a **boxplot for compact comparison** and a **histogram for detailed distributional exploration**; using both is often best.</t>
  </si>
  <si>
    <t>A030</t>
  </si>
  <si>
    <t>During exploratory analysis, consider transforming a variable when its current scale obscures important structure or violates modeling assumptions. Useful clues include:
### 1. Strong skewness or extreme values
Inspect histograms, density plots, boxplots, and quantiles.
- A long right tail and values spanning several orders of magnitude often suggest a log transformation.
- A left-skewed variable may require reflection followed by a transformation, though interpretation becomes less direct.
- Transformation should not be used solely to make a histogram look symmetric; the effect on the analysis matters.
### 2. A nonlinear relationship with another variable
Plot the variable against the response or other important variables, using a smoother such as LOESS.
A log transformation may help when:
- The relationship is multiplicative rather than additive.
- The response changes rapidly at small values and then levels off.
- A plot of \(y\) against \(x\) is curved, but \(y\) against \(\log(x)\) is approximately linear.
- For exponential growth, plotting \(\log(y)\) against \(x\) may linearize the relationship.
Compare plausible scales rather than relying on one plot.
### 3. Nonconstant variance
In regression, plot residuals against fitted values and against predictors.
A “funnel” shape—residual spread increasing with the fitted value—suggests heteroscedasticity. Transforming the response, often with a log or square-root transformation, can stabilize the variance.
For example, if variability is roughly proportional to the mean, modeling \(\log(y)\) may be appropriate.
### 4. Model residual patterns
Fit a preliminary model and inspect:
- Residuals versus fitted values
- Residuals versus each predictor
- Q–Q plots
- Scale–location plots
A transformation may be useful if it reduces curvature, unequal variance, or severe departures from assumptions. Transforming a predictor can address nonlinear structure; transforming the response can address residual variance or distributional issues.
### 5. The variable’s measurement scale and domain
A log transformation requires strictly positive values. Consider:
- **Positive, right-skewed data:** \(\log(x)\)
- **Counts or nonnegative data:** square-root or a count model such as Poisson or negative binomial may be more suitable
- **Values including zero:** use a justified offset, such as \(\log(1+x)\), or consider a model designed for zeros
- **Negative and positive values:** Yeo–Johnson or another transformation may be appropriate
- **Proportions:** logit or other proportion-specific transformations may be preferable
Do not add an arbitrary constant without considering what zero means and how the result will be interpreted.
### 6. Compare transformations objectively
Compare candidate transformations using:
- Residual diagnostics
- Cross-validation or out-of-sample performance
- AIC or likelihood-based criteria when appropriate
- Whether assumptions improve
- Interpretability and scientific plausibility
Methods such as Box–Cox or Yeo–Johnson can suggest a power transformation, but their recommendation should be checked against domain knowledge.
A transformation is most justified when it improves linearity, stabilizes variance, reduces the influence of extreme scale differences, or makes model assumptions more reasonable—not merely because the raw variable is skewed.</t>
  </si>
  <si>
    <t>A047</t>
  </si>
  <si>
    <t>A031</t>
  </si>
  <si>
    <t>A Pearson correlation measures the strength of a **linear** relationship between two variables. A coefficient near zero indicates little or no linear association, but the variables may still have a strong **nonlinear** relationship.
For example, if \(Y = X^2\) and \(X\) is symmetrically distributed around zero, the Pearson correlation can be close to zero even though \(Y\) is completely determined by \(X\). Other possibilities include:
- A curved or U-shaped relationship
- Different relationships in subgroups that cancel each other out
- Measurement noise or a small sample size
- Outliers affecting the coefficient
Therefore, a near-zero Pearson correlation does not establish independence or prove that no relationship exists. A scatterplot and, where appropriate, rank or nonlinear measures such as Spearman’s correlation should also be considered.</t>
  </si>
  <si>
    <t>A032</t>
  </si>
  <si>
    <t>Here is a breakdown of suitable summary statistics and visualizations for categorical and metric variables:
---
### 1. Categorical Variables (Qualitative / Nominal / Ordinal)
Categorical variables represent characteristics or attributes that fit into distinct groups or categories.
#### **Summary Statistics**
* **Frequency / Count:** The total number of observations in each category.
* **Relative Frequency / Percentage / Proportion:** The percentage or proportion of total observations belonging to each category.
* **Mode:** The most frequently occurring category.
* **Median &amp; Range / IQR (Ordinal only):** If the categorical data has a natural order (e.g., *Low, Medium, High*), the median and rank-based measures can also be computed.
#### **Visualizations**
* **Bar Plot / Count Plot:** Displays categories on one axis and counts/percentages on the other. (Best practice: leave spaces between bars to indicate discrete categories).
* **Pie Chart / Donut Chart:** Shows relative proportions of a whole (best used when there are 5 or fewer categories).
* **Frequency Table / Contingency Table:** A tabular summary showing counts or percentages across categories (or across two cross-tabulated categorical variables).
* **Pareto Chart:** A bar chart sorted by frequency in descending order, often combined with a line showing cumulative percentage.
---
### 2. Metric Variables (Quantitative / Continuous / Interval / Ratio)
Metric variables represent numerical measurements where arithmetic operations (like addition or averaging) are meaningful.
#### **Summary Statistics**
* **Measures of Central Tendency:**
  * **Mean:** Arithmetic average (sensitive to outliers).
  * **Median:** The middle value when sorted (robust to outliers).
  * **Mode:** The most common value (less frequently used for continuous data).
* **Measures of Dispersion / Spread:**
  * **Standard Deviation &amp; Variance:** Measures how spread out values are around the mean.
  * **Range:** Difference between the maximum and minimum values ($Max - Min$).
  * **Interquartile Range (IQR):** Difference between the 75th percentile ($Q3$) and 25th percentile ($Q1$).
  * **Minimum &amp; Maximum:** The lowest and highest values.
* **Measures of Shape:**
  * **Skewness:** Indicates asymmetry of the distribution (left-skewed vs. right-skewed).
  * **Kurtosis:** Indicates the "tailedness" or concentration of extreme values.
#### **Visualizations**
* **Histogram:** Shows the underlying frequency distribution of a continuous variable binned into intervals. (Bars touch to imply continuity).
* **Box Plot (Box-and-Whisker Plot):** Visualizes the five-number summary (Min, Q1, Median, Q3, Max) and highlights outliers.
* **Kernel Density Estimate (KDE) / Density Plot:** A smoothed curve showing the probability distribution of the data.
* **Violin Plot:** Combines a box plot with a KDE plot to show both distribution shape and summary metrics.
* **Q-Q Plot (Quantile-Quantile Plot):** Compares the data's distribution against a theoretical normal distribution to check for normality.
* **Dot Plot:** Useful for smaller datasets to display individual data points along a continuous scale.
---
### Quick Reference Matrix
| Feature | Categorical Variables | Metric Variables |
| :--- | :--- | :--- |
| **Central Tendency** | Mode *(Median if Ordinal)* | Mean, Median, Mode |
| **Spread / Dispersion**| N/A *(IQR/Range if Ordinal)* | Std. Dev, Variance, IQR, Range |
| **Primary Charts** | Bar Chart, Pie Chart | Histogram, Box Plot, Density Plot |</t>
  </si>
  <si>
    <t>A033</t>
  </si>
  <si>
    <t>A065</t>
  </si>
  <si>
    <t>Here is the breakdown of suitable summary statistics and visualizations categorized by variable type:
---
### 1. Categorical Variables
Categorical variables represent qualitative groups or labels (e.g., gender, country, satisfaction level). They can be **nominal** (no inherent order) or **ordinal** (ordered categories).
#### **Summary Statistics**
* **Frequency / Count:** Absolute number of observations in each category.
* **Proportions / Percentages / Relative Frequencies:** Proportion of total observations belonging to each category.
* **Mode:** The most frequently occurring category.
* **Median &amp; Percentiles:** *Suitable only for ordinal variables*, as they require ordered data.
#### **Visualizations**
* **Bar Chart / Column Chart:** Displays frequencies or percentages for each category using rectangular bars.
* **Pie Chart / Donut Chart:** Shows proportions of a whole (best when categories are few, typically $\le 5$).
* **Pareto Chart:** A bar chart sorted by frequency alongside a cumulative percentage line.
* **Treemap:** Displays hierarchical or relative proportions using nested rectangles.
---
### 2. Metric Variables
Metric (or quantitative) variables represent numerical measurements and can be **discrete** (counted values) or **continuous** (measured values along a continuum).
#### **Summary Statistics**
* **Measures of Central Tendency:**
  * **Mean (Arithmetic):** Average value (sensitive to outliers).
  * **Median:** Middle value when sorted (robust to outliers).
  * **Mode:** Most frequent value (more useful for discrete variables).
* **Measures of Dispersion / Variability:**
  * **Range:** Difference between maximum and minimum values ($\text{Max} - \text{Min}$).
  * **Interquartile Range (IQR):** Difference between the 75th ($Q_3$) and 25th ($Q_1$) percentiles.
  * **Variance &amp; Standard Deviation:** Spread of values around the mean.
  * **Coefficient of Variation (CV):** Relative standard deviation ($\frac{\sigma}{\mu}$).
* **Measures of Shape &amp; Position:**
  * **Percentiles / Quantiles / Min &amp; Max:** Specific positions within the distribution.
  * **Skewness:** Degree of asymmetry in the distribution.
  * **Kurtosis:** Measure of the "tailedness" of the distribution.
#### **Visualizations**
* **Histogram:** Groups continuous data into range bins to display distribution shape.
* **Density Plot (KDE):** Smooth curve representing the probability density function.
* **Box Plot (Box-and-Whisker):** Displays the 5-number summary (Min, $Q_1$, Median, $Q_3$, Max) and highlights outliers.
* **Violin Plot:** Combines a box plot with a rotated kernel density plot on each side.
* **Dot Plot / Stem-and-Leaf Plot:** Useful for smaller datasets to show individual data points.
* **Scatter Plot / Line Chart:** Used for bivariate metric comparisons or continuous time series tracking.
---
### Quick Reference Matrix
| Feature | Categorical Variables | Metric Variables |
| :--- | :--- | :--- |
| **Primary Measure** | Counts, Percentages, Mode | Mean, Median, Standard Deviation |
| **Distribution Plots** | Bar Chart, Pie Chart | Histogram, Density Plot, Box Plot |
| **Ordering Requirement** | Optional (only for Ordinal) | Inherent (numerical order) |</t>
  </si>
  <si>
    <t>A034</t>
  </si>
  <si>
    <t>### 1. What Skewness Means
**Skewness** is a measure of the asymmetry of a real-valued random variable's probability distribution or a dataset's distribution around its mean. 
In a perfectly symmetric distribution (like a standard Normal distribution), the left and right sides of the center point are mirror images of each other. Skewness quantifies how much and in what direction a distribution deviates from this symmetry:
*   **Zero Skew ($Skew = 0$):** The distribution is symmetric. The mean, median, and mode are generally equal.
*   **Positive Skew / Right-Skewed ($Skew &gt; 0$):** The tail on the right side of the distribution is longer or thicker than the left side. Most data points are concentrated at lower values, with a few extreme high values pulling the right tail. 
    *   *Typical relationship:* $\text{Mean} &gt; \text{Median} &gt; \text{Mode}$
    *   *Examples:* Income distribution, housing prices, insurance claims.
*   **Negative Skew / Left-Skewed ($Skew &lt; 0$):** The tail on the left side of the distribution is longer or thicker than the right side. Most data points are concentrated at higher values, with a few extreme low values pulling the left tail.
    *   *Typical relationship:* $\text{Mean} &lt; \text{Median} &lt; \text{Mode}$
    *   *Examples:* Age at death in developed countries, exam scores with an easy test.
---
### 2. Consequences for the Choice of Summary Statistics
Summary statistics generally describe two main features of a dataset: **central tendency** (the typical value) and **dispersion/spread** (how spread out the data is). 
Strong skewness invalidates standard parametric statistics (like the mean and standard deviation) because extreme values in the tail heavily influence these calculations.
#### A. Measures of Central Tendency
1.  **Mean is compromised:** 
    *   The arithmetic mean factors in the exact value of every observation. In a strongly skewed distribution, extreme values in the tail pull the mean toward them, making it unrepresentative of a "typical" data point.
    *   *Example:* If nine people earn \$50,000 and one person earns \$5,000,000, the mean is \$545,000, which distorts the financial reality of 90% of the group.
2.  **Median is preferred:**
    *   The median is a **robust statistic** (resistant to outliers and heavy tails) because it depends only on the positional rank of values, not their magnitude. It splits the distribution into two equal halves, making it a far more accurate representation of the center in skewed data.
#### B. Measures of Dispersion (Spread)
1.  **Standard Deviation and Variance are distorted:**
    *   Standard deviation measures distance from the mean ($\sum(x_i - \bar{x})^2$). Because it uses the mean and squares the deviations, strong skewness creates artificially inflated values of standard deviation, overstating the typical variability of the majority of the data.
2.  **Interquartile Range (IQR) is preferred:**
    *   The IQR ($Q_3 - Q_1$) measures the spread of the middle 50% of the</t>
  </si>
  <si>
    <t>A035</t>
  </si>
  <si>
    <t>In Exploratory Data Analysis (EDA), you determine whether a variable should be transformed by examining its **distribution shape**, **summary statistics**, and **relationships with other variables**. \n\nHere are the specific diagnostics and indicators to look for:\n\n---\n\n### 1. Summary Statistics Indicators\n* **High Skewness Coefficient:** \n * A skewness value greater than **+1.0** (strongly right-skewed) suggests a log, square root, or Box-Cox transformation.\n * A skewness value less than **-1.0** (strongly left-skewed) suggests a power or square transformation.\n* **Large Mean-to-Median Discrepancy:** If the mean is significantly larger than the median, the distribution is pulled by a long right tail (common in income, price, or population data).\n* **Multi-Order of Magnitude Range:** If the ratio between the maximum and minimum values is very high (e.g., $10^2$, $10^3$, or greater), scaling down via a log transform helps stabilize variance.\n\n---\n\n### 2. Univariate Visual Diagnostics\n* **Histograms / KDE Plots:** \n * **Visual Check:** Look for a \"power-law\" or highly asymmetric distribution with a sharp peak on the left and a long tail extending to the right. \n * *Action:* A log transformation compresses the long tail and spreads out the lower values, making the distribution more symmetric/Gaussian.\n* **Q-Q Plots (Quantile-Quantile):**\n * **Visual Check:** If the points curve significantly away from the straight diagonal reference line at the extremities, the variable deviates from normality.\n* **Box Plots:**\n * **Visual Check:** A vast cluster of points marked as \"outliers\" far above the upper whisker, with almost no whiskers below the median.\n\n---\n\n### 3. Bivariate &amp; Residual Diagnostics\n* **Non-Linear Relationships:**\n * **Scatter Plot ($X$ vs $Y$):** If the relationship shows an exponential curve rather than a straight line, transforming $X$, $Y$, or both can linearize the relationship.\n* **Heteroscedasticity (Non-Constant Variance):**\n * **Scatter Plot / Residual Plot:** If the spread (variance) of the dependent variable increases as the independent variable increases (forming a \"fan\" or \"funnel\" shape), log-transforming the variable helps equalize the variance (homoscedasticity).\n\n---\n\n### 4. Selecting the Right Transformation\n\n| Diagnostic Signal | Recommended Transformation | Mathematical Condition |\n| :--- | :--- | :--- |\n| **Severe Right Skew (Multi-order magnitude)** | Log Transformation ($\\ln</t>
  </si>
  <si>
    <t xml:space="preserve">Antwort bricht ab, bevor Heteroskedastizität bzw. wachsende Streeung um eine Beziehung behandlet wird. Schiefe und Log-Transformation sind aber enthalten  </t>
  </si>
  <si>
    <t>A036</t>
  </si>
  <si>
    <t>E0_02</t>
  </si>
  <si>
    <t>Exploratory Data Analysis (EDA) is not a purely automatic process because it relies heavily on **context, iterative questioning, and qualitative understanding**, none of which can be fully captured by pre-defined algorithms. While automated tools can rapidly generate summary statistics, correlation matrices, and standard visualizations, they cannot interpret what those outputs mean in the real world.
Here is a breakdown of why EDA cannot be fully automated and how the analyst’s judgment guides the process:
---
### 1. Why EDA Cannot Be Purely Automatic
* **Lack of Domain Context:** Algorithms process numbers, but they do not understand the domain from which the data originates. For example, an automated tool might flag a human heart rate of 0 as a statistical outlier, but domain context reveals it represents a fatal event or a disconnected sensor—two vastly different scenarios requiring different handling.
* **Contextual Ambiguity of Outliers and Missing Data:** Automated routines apply static rules (e.g., removing values beyond 3 standard deviations or imputing missing values with the mean). However, an outlier might be a data entry error, a system glitch, or the most critical data point in the set (e.g., fraudulent transactions or rare scientific discoveries). Deciding whether to keep, transform, or drop data requires human reasoning.
* **Non-Linear, Iterative Nature:** EDA is not a sequential checklist; it is a discovery process. Finding an anomaly in step A often prompts an unexpected detour in step B. Automated pipelines follow fixed code paths and cannot dynamically pivot based on intuition or subtle cues.
* **Detection of Spurious Correlations:** Automated systems can identify thousands of statistically significant correlations across large datasets. However, correlation does not imply causation. An algorithm cannot recognize a spurious correlation (e.g., the strong correlation between ice cream sales and shark attacks, both driven by the unobserved variable of summer weather).
---
### 2. The Role of the Analyst’s Judgment
The analyst acts as the interpreter and strategist during EDA. Their judgment is applied across several key areas:
* **Formulating the Right Questions:** An analyst defines the business or scientific objective, translating vague inquiries (e.g., "Why are sales dropping?") into specific, testable data explorations (e.g., "Is churn concentrated in a specific customer cohort or geographic region?").
* **Determining Data Quality Strategies:** The analyst decides *how* to handle dirty data based on the data-generating process. They evaluate whether missing data is Missing Completely at Random (MCAR), Missing at Random (MAR), or Missing Not at Random (MNAR), which dictates the appropriate imputation or exclusion strategy.
* **Domain-Driven Feature Engineering:** Analysts use judgment to transform raw data into meaningful variables. For instance, combining `weight` and `height` to create `BMI` or creating a `is_weekend` indicator variable stems from human insight about human biology or consumer behavior, not automatic mathematical operations.
* **Evaluating Practical Significance vs. Statistical Significance:** In large datasets, trivial differences often become statistically significant (p &lt; 0.05). The analyst must judge whether a statistically significant result has any practical or commercial value.
* **Communication and Ethical Oversight:** Analysts select which findings are relevant to stakeholders and hide noise, synthesizing complex charts into a coherent story. They also guard against ethical issues, such as historical bias encoded in the dataset or proxy variables that could lead to unfair algorithmic discrimination.
### Summary
Automation in</t>
  </si>
  <si>
    <t>IQR-Methode</t>
  </si>
  <si>
    <t>A037</t>
  </si>
  <si>
    <t>- **Mean:** The arithmetic average—sum all values and divide by the number of values. It uses every observation and can be strongly affected by outliers.
- **Median:** The middle value when data are ordered. If there are two middle values, it is their average. It is less affected by outliers and often better represents skewed data.
- **Mode:** The value or category occurring most frequently. A dataset can have one mode, multiple modes, or no mode.
**Example:** For `1, 2, 2, 3, 100`:
- Mean = 21.6
- Median = 2
- Mode = 2
Thus, the mean reflects the overall numerical average, the median reflects the central position, and the mode reflects the most common value.</t>
  </si>
  <si>
    <t>Bezug zu den Skalenniveaus fehlt, es soll genannt werden dass der Modus auch für kategoriale/nominale Daten geeignet ist und der Median für orinale Daten</t>
  </si>
  <si>
    <t>A038</t>
  </si>
  <si>
    <t>| Variable type | Suitable summary statistics | Suitable visualizations |
|---|---|---|
| **Categorical** (e.g., country, product type, yes/no) | - Frequency/count for each category  &lt;br&gt;- Proportion or percentage  &lt;br&gt;- Mode  &lt;br&gt;- Number of distinct categories  &lt;br&gt;- For **ordinal** categories: cumulative percentages; sometimes median or quantiles if the ordering is meaningful | - Bar chart or column chart  &lt;br&gt;- Pareto chart  &lt;br&gt;- Stacked or grouped bar chart for comparisons across another categorical variable  &lt;br&gt;- Mosaic plot for two categorical variables  &lt;br&gt;- Pie chart, used sparingly and mainly for a small number of categories |
| **Metric / numerical** (e.g., income, age, temperature) | - Mean  &lt;br&gt;- Median  &lt;br&gt;- Minimum and maximum  &lt;br&gt;- Range  &lt;br&gt;- Standard deviation or variance  &lt;br&gt;- Quartiles and interquartile range (IQR)  &lt;br&gt;- Percentiles  &lt;br&gt;- Skewness and, where relevant, outlier measures | - Histogram  &lt;br&gt;- Density plot  &lt;br&gt;- Box plot  &lt;br&gt;- Violin plot  &lt;br&gt;- ECDF  &lt;br&gt;- Dot plot or strip plot, especially for small samples  &lt;br&gt;- Q–Q plot for assessing distributional shape or normality |
Additional considerations:
- For **nominal categorical variables**, arithmetic summaries such as the mean or standard deviation are not meaningful.
- For **ordinal variables**, the order is meaningful, but the distances between categories may not be; frequencies and cumulative percentages are generally safest.
- For **metric variables**, the mean and standard deviation are useful for roughly symmetric distributions without severe outliers. For skewed or outlier-prone data, report the median and IQR as well, or instead.
- When comparing a metric variable across categories, use grouped box plots, violin plots, or summary tables by category.</t>
  </si>
  <si>
    <t>A039</t>
  </si>
  <si>
    <t>A059</t>
  </si>
  <si>
    <t>In exploratory data analysis (EDA), **univariate**, **bivariate**, and **multivariate** analysis refer to the number of variables being examined simultaneously to understand patterns, relationships, and distributions.
---
### 1. Univariate Analysis
* **Definition:** The analysis of **one single variable** at a time.
* **Primary Objective:** To summarize and describe the distribution, central tendency, variability, and spread of that specific variable. It does not look at cause, effect, or relationships with other variables.
* **Key Statistics:**
  * **Central Tendency:** Mean, Median, Mode
  * **Dispersion/Spread:** Range, Variance, Standard Deviation, Interquartile Range (IQR)
* **Common Visualizations:**
  * Histograms
  * Box plots
  * Bar charts (for categorical data)
  * Density plots
* **Example:** Analyzing the distribution of customer ages in a dataset to find the average age and age range.
---
### 2. Bivariate Analysis
* **Definition:** The analysis of **two variables** simultaneously.
* **Primary Objective:** To determine if there is a relationship, association, correlation, or dependence between the two variables.
* **Key Statistics/Tests:**
  * **Correlation Coefficients:** Pearson’s $r$ (numerical vs. numerical), Spearman’s rank
  * **Cross-tabulation / Chi-Square Test:** (categorical vs. categorical)
  * **Two-sample t-tests / ANOVA:** (categorical vs. numerical)
* **Common Visualizations:**
  * Scatter plots
  * Line plots (e.g., Time series: Date vs. Sales)
  * Side-by-side box plots
  * Stacked bar charts
* **Example:** Examining the relationship between advertising spend (Variable 1) and sales revenue (Variable 2) to see if increased spend leads to higher sales.
---
### 3. Multivariate Analysis
* **Definition:** The analysis of **three or more variables** simultaneously.
* **Primary Objective:** To understand complex, multidimensional interactions, dependencies, or joint patterns among multiple variables at once.
* **Key Techniques/Methods:**
  * Multiple Regression Analysis
  * Principal Component Analysis (PCA) / Dimensionality Reduction
  * Cluster Analysis (e.g., K-Means)
  * Factor Analysis
* **Common Visualizations:**
  * Correlation Heatmaps
  * Pair plots / Scatter plot matrices
  * 3D Scatter plots
  * Parallel coordinates plots
* **Example:** Predicting house prices based on location, square footage, number of bedrooms, age of property, and local crime rate all together.
---
### Summary Comparison Table
| Feature | Univariate Analysis | Bivariate Analysis | Multivariate Analysis |
| :--- | :--- | :--- | :--- |
| **Number of Variables** | 1 | 2 | 3 or more |
| **Focus** | Distribution and summary statistics | Association and correlation between two variables | Complex interactions and dependencies among multiple variables |
| **Example Goal** | Find the average income of a group | Check if education level is correlated with income | Predict income using education, experience, location, and age |
| **Typical Tools** | Histogram, Box plot, Mean/Median | Scatter plot, Correlation coefficient | Heatmap, Pair plot, PCA, Multiple Regression |</t>
  </si>
  <si>
    <t>A040</t>
  </si>
  <si>
    <t>- **Univariate analysis** examines **one variable** at a time. It describes its distribution, center, spread, and patterns.  
  - Examples: mean, median, standard deviation, histogram of income.
- **Bivariate analysis** examines the relationship between **two variables**. The methods depend on the variable types.  
  - Examples: correlation between height and weight, a scatterplot, or comparing average income across genders.
- **Multivariate analysis** examines **three or more variables simultaneously**. It is used to study relationships while accounting for multiple factors.  
  - Examples: multiple linear regression predicting income from education, experience, and location; or principal component analysis.
In short: **uni = one variable, bi = two variables, multi = multiple variables**.</t>
  </si>
  <si>
    <t>A041</t>
  </si>
  <si>
    <t>A Pearson correlation coefficient ($r$) close to zero indicates the absence of a **linear** relationship, but it does not mean that no relationship exists at all. 
Here are the primary reasons why a relationship might still exist:
### 1. Non-Linear Relationships
Pearson’s $r$ specifically measures the strength and direction of a straight-line (linear) trend between two continuous variables. If two variables have a strong **non-linear** relationship—such as a quadratic, exponential, or sinusoidal relationship—Pearson’s correlation can be zero despite a perfectly deterministic pattern.
* **Example:** A U-shaped relationship (e.g., the Yerkes-Dodson law relating stress to performance). Low stress yields low performance, moderate stress yields high performance, and high stress yields low performance. The symmetric curve results in $r \approx 0$, even though performance is clearly dependent on stress.
### 2. Presence of Influential Outliers
Outliers can drastically skew the calculation of Pearson's $r$. A strong linear relationship across 99% of the data can be pulled down to near zero by a few extreme leverage points elsewhere in the scatter plot.
### 3. Subgroup Differences (Simpson’s Paradox)
If the data consists of distinct subgroups with different baselines, combining them into a single dataset can mask strong individual relationships. For instance, if Variable A and Variable B have a strong positive correlation within Men and a strong positive correlation within Women, but Men have significantly lower overall values for both variables, the aggregated correlation can calculate to zero.
### 4. Range Truncation (Restricted Range)
If the data analyzed is restricted to a narrow range of one variable, the observable linear trend may flatten out, causing $r$ to approach zero. 
* **Example:** Comparing GRE scores to graduate school GPA only among accepted students (who all have high GRE scores) often yields a correlation near zero because the range of GRE scores has been truncated.
---
### Best Practice
Because Pearson's $r$ summarizes data into a single statistic, it can hide complex patterns. To prevent misinterpretation:
* **Always visualize the data** using a scatter plot before relying on correlation coefficients.
* **Consider non-parametric alternatives**, such as Spearman's rank correlation or Kendall's tau, to detect monotonic non-linear relationships.</t>
  </si>
  <si>
    <t>A081</t>
  </si>
  <si>
    <t>A042</t>
  </si>
  <si>
    <t>Testing many hypotheses on the same dataset creates several risks:
- **Inflated false-positive rate:** Even if no real effects exist, testing enough hypotheses makes some appear statistically significant by chance. For example, with 20 independent tests at α = 0.05, the chance of at least one false positive is about 64%.
- **Multiple-comparison problems:** Ordinary p-values and confidence intervals no longer have their intended error rates unless adjusted or interpreted cautiously.
- **Overfitting and data dredging:** Researchers may select patterns that fit random noise in the observed data but fail on new data.
- **Biased effect estimates:** Selecting only promising findings can exaggerate effect sizes and produce overly narrow confidence intervals.
- **P-hacking and researcher degrees of freedom:** Repeatedly changing variables, models, transformations, or subgroup definitions until significance appears can make results seem stronger than they are.
- **Poor reproducibility:** Findings discovered through extensive searching may not replicate in independent samples.
Exploratory analysis is valuable, but findings generated this way should generally be treated as **hypothesis-generating**. They can be confirmed using a fresh validation dataset, a held-out sample, or a preregistered follow-up study, with appropriate multiple-testing methods where relevant.</t>
  </si>
  <si>
    <t>A043</t>
  </si>
  <si>
    <t>In data analysis, a correlation coefficient (most commonly Pearson’s $r$) measures the strength and direction of a **linear relationship** between two quantitative variables, bounded between $-1$ and $+1$. 
While useful, it is a single summary statistic with significant limitations. Here is what a correlation coefficient does **not** tell you, along with the most common fallacies when interpreting it.
---
### Part 1: What a Correlation Coefficient Does NOT Tell You
1. **Non-Linear Relationships**
   * Pearson’s $r$ only evaluates straight-line relationships. Two variables can have a perfect deterministic relationship (e.g., $y = x^2$ or a U-shaped curve) and still yield a correlation coefficient near $0$.
2. **Causation or Directionality**
   * It indicates that two variables move together, but it does not reveal *why*. It cannot tell you if $X$ causes $Y$, $Y$ causes $X$, or if both are driven by an unobserved third variable ($Z$).
3. **The Slope or Magnitude of Effect**
   * A strong correlation ($r = 0.95$) means data points fall very close to a straight line, but it says nothing about how steep that line is. A line with a slope of $0.0001$ and a line with a slope of $100$ can both have $r = 1.0$.
4. **Data Distribution and Underlying Structure**
   * The coefficient does not reveal skewness, multimodal distributions, heteroscedasticity (unequal variance), or clustering. (This is famously demonstrated by **Anscombe’s Quartet**, where four distinct datasets share the exact same correlation of $0.816$).
5. **The Presence or Impact of Outliers**
   * A single extreme outlier can artificially inflate a weak correlation to near $+1$ or deflate a strong correlation to near $0$.
6. **Goodness of Fit for Prediction ($R^2$ Context)**
   * While $r^2$ gives the proportion of variance explained, $r$ itself does not linearly translate to predictive accuracy. An $r = 0.7$ sounds high, but it explains only $49\%$ of the variance ($0.7^2 = 0.49$).
---
### Part 2: Common Fallacies in Interpreting Correlation
#### 1. The Causal Fallacy (*Cum Hoc Ergo Propter Hoc*)
* **The Mistake:** Assuming that because $X$ and $Y$ are correlated, $X$ must cause $Y$.
* **Example:** Ice cream sales and drowning rates are strongly correlated. mistaking this for causality ignores the confounder/third variable: warm summer weather.
#### 2. The Zero-Correlation Fallacy
* **The Mistake:** Concluding that $r = 0$ means "there is no relationship between the variables."
* **Reality:** $r = 0$ only means "there is no *linear* relationship." A strong non-linear</t>
  </si>
  <si>
    <t>A044</t>
  </si>
  <si>
    <t>The **IQR (Interquartile Range) method** is a rule-based technique for identifying potential outliers in numerical data.
1. Calculate the first quartile, **Q1** (25th percentile), and third quartile, **Q3** (75th percentile).
2. Compute the interquartile range:
\[
\text{IQR} = Q3 - Q1
\]
3. Define the outlier boundaries:
\[
\text{Lower bound} = Q1 - 1.5 \times \text{IQR}
\]
\[
\text{Upper bound} = Q3 + 1.5 \times \text{IQR}
\]
Observations below the lower bound or above the upper bound are flagged as **potential outliers**.
The method is used in exploratory data analysis because it is relatively robust to extreme values and does not assume the data follows a normal distribution. The 1.5 multiplier is a common convention, not a universal rule; it can be adjusted depending on the context.</t>
  </si>
  <si>
    <t>A045</t>
  </si>
  <si>
    <t>In Exploratory Data Analysis (EDA), both **boxplots** and **histograms** are used to visualize the distribution of continuous numerical data. The choice between them depends on whether your goal is to **compare groups and detect outliers** (Boxplot) or **understand the exact shape of a single distribution** (Histogram).
---
### When a Boxplot is Preferable
A boxplot visualizes the five-number summary (Minimum, Q1, Median, Q3, Maximum) and explicitly flags statistical outliers using the Interquartile Range (IQR).
**Use a boxplot when:**
1. **Comparing distributions across multiple groups:** Boxplots are compact, allowing you to compare a continuous variable across 3, 5, or even 20 categorical groups side-by-side (e.g., comparing salary distributions across 10 different departments).
2. **Focusing on outlier detection:** Boxplots explicitly isolate points that fall outside $1.5 \times \text{IQR}$, making it easy to identify extreme values immediately.
3. **Space is limited:** Because boxplots are one-dimensional representations, they take up significantly less visual space than histograms, making them ideal for dense dashboards.
4. **Comparing skewness and medians directly:** It is visually effortless to compare median lines and IQR spans across groups in boxplots.
---
### When a Histogram is Preferable
A histogram groups continuous data into bins along the x-axis and displays the frequency (or density) on the y-axis.
**Use a histogram when:**
1. **Identifying the exact shape of a distribution:** Histograms reveal whether a distribution is unimodal, bimodal, multimodal, uniform, or bell-shaped (Normal). 
   * *Critical limitation of boxplots:* A bimodal distribution and a uniform distribution can produce the exact same boxplot.
2. **Analyzing a single variable in depth:** When you are exploring one numeric variable at a time, a histogram provides a complete view of the underlying data structure.
3. **Detecting data anomalies, gaps, or granularity issues:** Histograms can reveal specific data collection artifacts, such as missing ranges (gaps) or heavy rounding (e.g., spikes at integer values like 0, 5, or 10).
4. **Communicating with non-technical stakeholders:** Histograms are generally more intuitive to a non-technical audience than quartiles and IQR fences.
---
### Summary Comparison Table
| Scenario / Goal | Prefer Boxplot | Prefer Histogram |
| :--- | :--- | :--- |
| **Comparing 3+ groups** | **</t>
  </si>
  <si>
    <t>A046</t>
  </si>
  <si>
    <t>Exploratory data analysis (EDA) is not purely automatic because understanding data requires context and interpretation, not just computation. Software can calculate summaries, identify correlations, visualize distributions, and flag unusual values, but it cannot reliably determine:
- Which questions are important for the study
- Whether an outlier is an error, a rare but valid observation, or a meaningful event
- How missing values or measurement procedures affect results
- Which transformations, comparisons, or visualizations are appropriate
- Whether an apparent pattern is substantively meaningful or merely a statistical artifact
The analyst’s judgment guides the selection of relevant variables, methods, plots, and data-cleaning decisions. It also incorporates subject-matter knowledge to interpret patterns and assess their plausibility. EDA is therefore an iterative process: automated tools help reveal possible patterns, while the analyst evaluates, questions, and investigates them, avoiding misleading conclusions caused by noise, bias, or accidental relationships.</t>
  </si>
  <si>
    <t>Exploratory data analysis (EDA) is usually iterative, but a typical sequence is:
1. **Define the objective and questions**
   - Clarify what you want to learn, the unit of analysis, and relevant outcomes or variables.
2. **Acquire and understand the data**
   - Identify data sources, collection methods, variable definitions, data types, and known limitations.
3. **Perform an initial data-quality check**
   - Inspect dimensions, column names, data types, duplicate records, missing values, invalid values, and obvious inconsistencies.
4. **Clean and prepare the data**
   - Correct data types and formats, handle missing or invalid observations, remove or justify duplicates, and document any assumptions.
   - Usually, the raw data should be profiled before changes are made.
5. **Examine individual variables**
   - For numerical variables, use summary statistics, histograms, density plots, and box plots.
   - For categorical variables, inspect frequencies, proportions, and bar charts.
   - Identify skewness, unusual values, and imbalanced categories.
6. **Investigate relationships between variables**
   - Use correlations, cross-tabulations, scatter plots, grouped summaries, and comparisons across categories.
   - Examine relationships involving the main outcome or variable of interest.
7. **Explore multivariable patterns**
   - Look for interactions, clusters, trends, confounding, and segment differences using visualizations such as heat maps, pair plots, or faceted charts.
8. **Assess outliers, missingness, and potential bias**
   - Determine whether unusual values are errors, legitimate rare cases, or influential observations.
   - Check whether missing data or sampling patterns are systematic.
9. **Transform or engineer variables when appropriate**
   - Apply transformations, create meaningful derived variables, aggregate data, or encode categories if this helps reveal structure.
   - Avoid transformations that obscure the original data without documentation.
10. **Formulate and evaluate hypotheses**
    - Use the patterns found to generate questions or hypotheses for formal statistical testing or modeling.
    - EDA generally suggests evidence and relationships; it does not by itself establish causation.
11. **Summarize and document findings**
    - Record key patterns, data limitations, assumptions, unexpected results, and decisions made during cleaning and analysis.
In practice, these steps are not strictly linear: discoveries during visualization or relationship analysis often lead to revisiting data cleaning, variable definitions, or the original questions.</t>
  </si>
  <si>
    <t>A048</t>
  </si>
  <si>
    <t>In statistics and exploratory data analysis, the **mean**, **median**, and **mode** are all **measures of central tendency**. They describe the central point or "typical" value around which a dataset is centered. 
While they all aim to summarize a distribution with a single representative value, they calculate and interpret that center differently.
---
### What Each Describes
1. **Mean (Arithmetic Average)**
   * **What it is:** The sum of all values in a dataset divided by the total number of values.
   * **What it describes:** The mathematical center or "balance point" of the data. If all data points were equally distributed, each would equal the mean.
   * **Best used for:** Symmetric numerical data without extreme values (e.g., test scores, standardized measurements).
2. **Median (Middle Value)**
   * **What it is:** The exact middle value when the data is ordered from lowest to highest. If the dataset has an even number of observations, it is the average of the two middle numbers.
   * **What it describes:** The 50th percentile—the point that splits the dataset into two equal halves (50% of the data lies above it, and 50% lies below).
   * **Best used for:** Skewed numerical data or datasets with strong outliers (e.g., household income, real estate prices).
3. **Mode (Most Frequent Value)**
   * **What it is:** The value that appears most frequently in a dataset. 
   * **What it describes:** The most popular or common occurrence. A dataset can have one mode (unimodal), multiple modes (bimodal/multimodal), or no mode at all (if all values are unique).
   * **Best used for:** Categorical (non-numerical) data or identifying peak popularity (e.g., most sold shoe size, most common survey response).
---
### How They Differ
The key differences lie in their sensitivity to extreme values, the types of data they apply to, and their mathematical properties:
| Feature | Mean | Median | Mode |
| :--- | :--- | :--- | :--- |
| **Calculation** | Sum divided by count | Positional midpoint of ordered data | Count of occurrence frequencies |
| **Sensitivity to Outliers** | **Highly sensitive** (extreme values pull the mean toward them) | **Robust** (outliers do not change the middle position) | **Unaffected** |
| **Applicable Data Types** | Continuous / Discrete Numerical | Continuous, Discrete, and Ordinal | Nominal (Categorical), Ordinal, and Numerical |
| **Uniqueness** | Always exactly one value | Always exactly one value | Can be one, multiple, or none |
| **Impact of Skewness** | Pulled in the direction of the skew (tail) | Remains near the center of the distribution | Located at the highest peak of the distribution |
---
### Example to Illustrate the Difference
Consider a small company with 5 employees earning the following annual salaries: 
`$30,000,  $30,000,  $40,000,  $50,000,  $250,000`
* **Mode = $30,000:** The most common salary.
* **Median = $40,000:** The middle salary (half earn more, half earn less).
* **Mean = $80,000:** `($30,000 + $30,000 + $40,000 + $50,000 + $250,000) / 5`
**Takeaway from the example:** 
The single high salary ($250,000) heavily inflates the **mean** to $80,000, making it an unrepresentative metric for what a "typical" employee earns. The **median** ($40,000) gives a much more accurate picture of the central salary because it ignores the magnitude of the extreme outlier.</t>
  </si>
  <si>
    <t>A049</t>
  </si>
  <si>
    <t>### Categorical variables
Examples: gender, region, product type, satisfaction category.
**Summary statistics**
- Frequency/count for each category
- Relative frequency or percentage
- Mode
- For ordinal categories: cumulative percentages and sometimes median or quantiles, provided the ordering is meaningful
**Visualizations**
- Bar chart or column chart
- Pareto chart, if categories are ordered by frequency
- Stacked or grouped bar charts for comparison across another categorical variable
- Mosaic plot for relationships between two categorical variables
- Pie chart, only for a small number of mutually exclusive categories; bar charts are usually easier to compare
**Generally unsuitable**
- Mean, standard deviation, and histograms for a nominal categorical variable
- Treating category codes such as 1, 2, and 3 as numerical measurements unless their spacing is meaningful
---
### Metric variables
Examples: age, income, temperature, height, test score.
**Summary statistics**
- Mean
- Median
- Minimum and maximum
- Range
- Variance and standard deviation
- Quartiles and interquartile range (IQR)
- Percentiles
- Optionally skewness and measures of tail behavior
For skewed data or data with outliers, emphasize the **median and IQR**. For approximately symmetric data, the **mean and standard deviation** are often useful.
**Visualizations**
- Histogram
- Density plot
- Box plot
- Violin plot
- ECDF (empirical cumulative distribution function)
- Scatter plot when examining its relationship with another metric variable
- Dot plot or stem-and-leaf plot for small datasets
**Generally unsuitable**
- Bar charts of individual metric values, unless values have first been grouped into meaningful bins
- Relying only on the mean and standard deviation when the distribution is strongly skewed or contains influential outliers</t>
  </si>
  <si>
    <t>A050</t>
  </si>
  <si>
    <t>A055</t>
  </si>
  <si>
    <t>A correlation coefficient summarizes the **direction and strength of association**, usually the *linear* association, between two variables. It does **not** by itself tell you:
- **Causality:** Correlation does not establish that one variable causes the other. The relationship may reflect confounding, reverse causation, or coincidence.
- **The nature of the relationship:** A coefficient can miss strong but nonlinear relationships. For example, \(Y=X^2\) can have near-zero Pearson correlation when \(X\) is symmetrically distributed.
- **Whether the relationship is practically important:** A small association can be statistically significant with a large sample, while a large-looking association may be imprecisely estimated in a small sample.
- **The absence of subgroups or interactions:** An overall correlation can conceal different relationships within groups, including relationships in opposite directions.
- **The mechanism or form of causation:** It does not identify why variables are associated, whether the effect is direct, or whether there are mediating variables.
- **The quality of the data:** It does not reveal measurement bias, selection bias, missing-data problems, or data errors.
- **Generalizability:** A correlation observed in one sample or restricted range may not apply elsewhere.
- **The full distribution of the data:** Two datasets can have the same correlation but very different scatterplots, outliers, slopes, and patterns.
### Common interpretation fallacies
1. **“Correlation implies causation.”**  
   A third variable may cause both variables, or the direction of causation may be reversed.
2. **“No correlation means no relationship.”**  
   The relationship may be nonlinear, subgroup-specific, or obscured by noise.
3. **“A high correlation means one variable strongly predicts the other.”**  
   Prediction also depends on variability, measurement error, the outcome scale, and the intended use.
4. **“A statistically significant correlation is important.”**  
   Significance depends heavily on sample size; effect size and uncertainty matter too.
5. **“A correlation of 0.8 is twice as strong as one of 0.4.”**  
   Correlation is not generally interpreted on a simple ratio scale. The squared correlation, \(r^2\), is sometimes used as the proportion of linear variance explained, but it has its own limitations.
6. **Ignoring outliers.**  
   A few influential observations can create, eliminate, or reverse a correlation.
7. **Assuming correlation is unaffected by transformations or restricted ranges.**  
   Truncating the sample, selecting only certain cases, or using poorly measured variables can substantially alter it.
8. **Confusing group-level and individual-level relationships.**  
   An association across regions or groups need not hold for individuals—the ecological fallacy. The reverse problem can also occur when aggregating data.
9. **Treating a correlation as evidence of a stable relationship over time.**  
   Trending time series can produce spurious correlations unless temporal structure is addressed.
A scatterplot, subgroup analysis, uncertainty interval or hypothesis test, and subject-matter reasoning should generally accompany a correlation coefficient.</t>
  </si>
  <si>
    <t>A051</t>
  </si>
  <si>
    <t>In Exploratory Data Analysis (EDA), the primary difference between **univariate**, **bivariate**, and **multivariate** analysis is the **number of variables** being analyzed simultaneously and the complexity of the relationships being explored.
---
### 1. Univariate Analysis
* **Variables analyzed:** **One** variable.
* **Primary Goal:** To describe, summarize, and find patterns in a single feature in isolation. It does not deal with causes or relationships.
* **Key Focus:** Data distribution, central tendency, spread (dispersion), and frequency.
* **Common Statistics:** Mean, median, mode, variance, standard deviation, interquartile range (IQR), skewness, and kurtosis.
* **Common Visualizations:** Histograms, box plots, bar charts, pie charts, and kernel density estimation (KDE) plots.
* **Example:** Analyzing the distribution of **customer ages** in a dataset to see the average age and if the data is skewed.
---
### 2. Bivariate Analysis
* **Variables analyzed:** **Two** variables.
* **Primary Goal:** To determine if there is a relationship, correlation, or dependency between two features, and to measure the strength of that relationship.
* **Key Focus:** Cause-and-effect (in some contexts), correlation coefficients, and comparative distributions.
* **Common Methods:** Pearson’s or Spearman’s correlation coefficients, Chi-Square tests (categorical vs. categorical), t-tests/ANOVA (categorical vs. numerical), and simple linear regression.
* **Common Visualizations:** Scatter plots, dual-axis line charts, side-by-side box plots, stacked bar charts, and 2D heatmaps.
* **Example:** Examining the relationship between **customer age** and **annual spending** to see if older customers spend more.
---
### 3. Multivariate Analysis
* **Variables analyzed:** **Three or more** variables.
* **Primary Goal:** To understand complex interactions, dependencies, and patterns among multiple variables simultaneously, often controlling for confounding factors.
* **Key Focus:** Dimensionality reduction, clustering, feature importance, and complex predictive modeling.
* **Common Methods:** Multiple linear regression, Principal Component Analysis (PCA), Factor Analysis, MANOVA, and Cluster Analysis (e.g., K-Means).
* **Common Visualizations:** Correlation heatmaps (matrices), pair plots (scatter plot matrices), 3D scatter plots, and parallel coordinates plots.
* **Example:** Analyzing how **customer age**, **income level**, and **location** *jointly* influence **annual spending** and **churn probability**.
---
### Summary Comparison Matrix
| Feature | Univariate Analysis | Bivariate Analysis | Multivariate Analysis |
| :--- | :--- | :--- | :--- |
| **Number of Variables** | 1 | 2 | 3 or more |
| **Main Objective** | Describe a single variable's distribution | Find relationship/correlation between two variables | Model complex interactions among multiple variables |
| **Complexity** | Low | Medium | High |
| **Typical Viz** | Histogram, Box Plot | Scatter Plot, Stacked Bar | Pair Plot, PCA Plot, Heatmap |
| **Typical Analysis** | Mean, Median, Standard Deviation | Correlation Coefficient,</t>
  </si>
  <si>
    <t>A052</t>
  </si>
  <si>
    <t>Visualization choices can substantially affect what patterns viewers notice and how strong those patterns appear. Key examples include:
- **Axis scaling:**  
  - A truncated y-axis can make small differences look large, while a very wide scale can make meaningful differences appear negligible.  
  - Logarithmic scales are useful for data spanning several orders of magnitude, but they change how differences are perceived and should be clearly labeled.
- **Histogram bin width:**  
  - Very narrow bins can make random variation look like meaningful structure and produce a noisy plot.  
  - Very wide bins can hide modes, skewness, or subgroups.  
  - Different bin origins can also alter the apparent shape, so conclusions should be checked across reasonable settings.
- **Choice of chart type:**  
  - Bar charts emphasize comparisons among categories; line charts suggest continuity and trends, so connecting unrelated categories with lines can mislead.  
  - Means alone can hide variability and outliers; box plots, violin plots, or raw-point overlays provide more distributional information.
- **Aspect ratio and physical dimensions:**  
  - A stretched or compressed chart can make trends appear steeper, flatter, or more volatile than they are.
- **Color and ordering:**  
  - Color scales can emphasize certain ranges, especially if they are nonlinear or use a misleading midpoint.  
  - Ordering categories by value may reveal patterns, while alphabetical ordering may obscure them.
- **Aggregation and smoothing:**  
  - Aggregating over time or groups can conceal important variation or create apparent trends.  
  - Excessive smoothing may remove real changes; insufficient smoothing may emphasize noise.
Good practice is to use clearly labeled axes, justify transformations, show uncertainty and sample sizes where relevant, test conclusions under reasonable visualization settings, and avoid design choices that exaggerate or hide differences.</t>
  </si>
  <si>
    <t>A053</t>
  </si>
  <si>
    <t>The **median is preferable to the mean** when the data are:
- **Skewed**: The median is less affected by extreme values, so it better represents the typical observation.  
  *Example: Income data are often right-skewed because a small number of very high incomes can substantially increase the mean.*
- **Affected by outliers**: The median is robust to unusually large or small observations, whereas the mean can be pulled strongly toward them.
- **Ordinal or ranked**: For data such as satisfaction ratings or class rankings, the median is appropriate because the values have an order but the differences between categories may not be meaningfully equal.
- **Not well described by a symmetric distribution**: In asymmetric distributions, the median often better identifies the center of the observations.
The **mean** is generally preferable when the data are numerical, reasonably symmetric, and free from influential outliers, particularly when subsequent statistical calculations require it.</t>
  </si>
  <si>
    <t>E0_03</t>
  </si>
  <si>
    <t>Mittelwert, Median, Modus</t>
  </si>
  <si>
    <t>While Exploratory Data Analysis (EDA) is inherently **iterative**—meaning analysts often cycle back to previous steps as new insights emerge—it generally follows a structured, logical sequence. 
Here are the typical steps involved in EDA, presented in the order they are usually carried out:
---
### 1. Data Ingestion and Initial Structural Assessment
* **Goal:** Gain a high-level understanding of the dataset’s structure.
* **Actions:**
  * Load the data into the analytical environment (e.g., Python, R, SQL).
  * Check dataset dimensions (number of rows and columns).
  * Inspect the first few and last few records (`head()` and `tail()`).
  * Verify data types (e.g., integer, float, string, datetime) and column names.
### 2. Data Cleaning and Quality Assessment
* **Goal:** Identify and fix data quality issues that could distort analysis.
* **Actions:**
  * **Missing Values:** Identify missing or null values and decide whether to drop, impute, or flag them.
  * **Duplicates:** Detect and remove duplicate rows.
  * **Type Casting:** Convert columns to their correct data types (e.g., parsing strings into dates).
  * **Text/String Standardization:** Fix formatting issues (e.g., stripping whitespace, standardizing capitalization).
### 3. Summary Statistics (Descriptive Metrics)
* **Goal:** Quantify the basic characteristics of the data numerically.
* **Actions:**
  * **Numerical Data:** Calculate measures of central tendency (mean, median) and measures of spread (standard deviation, variance, range, IQR, min/max).
  * **Categorical Data:** Calculate unique value counts, frequencies, and modes.
### 4. Univariate Analysis (Single Variable Analysis)</t>
  </si>
  <si>
    <t>Die Antwort bricht bereits bei der univariaten Analyse ab. Dadurch fehlen insbesondere bi-/multivariate Zusammenhänge, Ausreißererkennung und Feature Engineering</t>
  </si>
  <si>
    <t>The **IQR (Interquartile Range) method** is a rule-based technique for identifying potential outliers in numerical data.
- **Q1**: 25th percentile, or lower quartile  
- **Q3**: 75th percentile, or upper quartile  
- **IQR**:  
  \[
  \mathrm{IQR} = Q3 - Q1
  \]
A value is commonly flagged as a potential outlier if it falls outside:
\[
\text{Lower bound} = Q1 - 1.5 \times \mathrm{IQR}
\]
\[
\text{Upper bound} = Q3 + 1.5 \times \mathrm{IQR}
\]
Values below the lower bound or above the upper bound are considered potential outliers.
The method is used in exploratory data analysis to detect unusually low or high observations. It is particularly useful because it is **robust to skewed data and extreme values**, unlike methods based on the mean and standard deviation. However, flagged values are not automatically errors; they may represent valid rare observations and should be investigated in context.</t>
  </si>
  <si>
    <t>A056</t>
  </si>
  <si>
    <t>A Pearson correlation measures only the **strength of a linear relationship** between two variables. A value close to zero indicates little or no linear association, but the variables may still have a strong **nonlinear** relationship.
For example, if \(Y = X^2\), the relationship is perfectly systematic, but the Pearson correlation can be close to zero when \(X\) is symmetrically distributed around zero. Other possibilities include:
- A U-shaped or curved relationship
- Relationships that differ across subgroups
- Outliers masking an association
- A weak or noisy relationship that Pearson’s coefficient cannot capture well
Therefore, scatterplots and additional analyses—such as rank correlations or nonlinear models—are useful for detecting relationships that Pearson correlation may miss.</t>
  </si>
  <si>
    <t>A057</t>
  </si>
  <si>
    <t>A correlation coefficient—usually Pearson’s \(r\)—summarizes the **direction and strength of a linear association** between two variables, typically from \(-1\) to \(+1\). It does **not** tell you:
- **Causation:** Correlation does not establish that one variable causes the other. The association may reflect confounding, reverse causality, or coincidence.
- **The nature of the relationship:** A correlation can miss a strong nonlinear relationship. For example, \(Y=X^2\) can have near-zero correlation with \(X\), even though \(Y\) depends perfectly on \(X\).
- **Whether the relationship is uniform:** A single overall correlation can hide different patterns in subgroups, as in Simpson’s paradox.
- **The absence of association:** \(r=0\) means no *linear* association, not necessarily no association. Only under special assumptions—such as joint normality—does zero correlation imply independence.
- **The effect of outliers:** A few extreme observations can substantially increase, decrease, or even reverse a correlation.
- **Practical importance:** A statistically significant correlation can be very small and unimportant in practice; a large observed correlation may be imprecisely estimated in a small sample.
- **Predictive accuracy for individuals:** \(r^2\) describes the proportion of variation explained by a linear model in the sample—not the percentage of individual outcomes predicted correctly.
- **Generalizability:** The coefficient may depend on the sample, measurement quality, selected range, and population. Restricting the range of either variable can weaken the correlation.
- **The underlying mechanism:** It gives no information about why the variables are associated.
Common interpretation fallacies include:
1. **“Correlation implies causation.”**  
   Ice-cream sales and drownings may correlate because both increase with warm weather; neither necessarily causes the other.
2. **“No correlation means no relationship.”**  
   This overlooks nonlinear patterns.
3. **“A high correlation proves a meaningful relationship.”**  
   It may be driven by a confounder, common time trends, or data artifacts.
4. **“A significant correlation is important.”**  
   Statistical significance depends heavily on sample size; effect size and uncertainty matter too.
5. **“The correlation applies to every subgroup.”**  
   Aggregated data can conceal or reverse subgroup relationships.
6. **“A correlation of .8 means 80% of the outcome is explained.”**  
   For a simple linear model, the relevant quantity is \(r^2\): \(0.8^2=0.64\), or 64% of sample variation, under that model—not 80%, and not causal explanation.
7. **“Correlation is unaffected by the data scale or quality.”**  
   Pearson’s correlation is sensitive to outliers, restricted ranges, and measurement error. It also captures linear association, whereas rank correlations such as Spearman’s measure monotonic association.</t>
  </si>
  <si>
    <t>A058</t>
  </si>
  <si>
    <t>The choice of visualization design parameters directly dictates how human perception decodes data. Subtle changes in presentation can alter the perceived magnitude, trend, distribution, or relationship within a dataset, sometimes leading to misinterpretation or biased conclusions. 
Here is a breakdown of how specific visual choices influence data interpretation:
---
### 1. Axis Scaling and Range Manipulation
*   **Truncated Y-Axes (Non-Zero Baselines):**
    *   *Effect:* In bar charts, failing to start the quantitative axis at zero artificially exaggerates the relative differences between groups. 
    *   *Impact:* A 2% difference can visually appear as a 200% difference, misleading viewers into perceiving minor fluctuations as massive shifts. *(Note: Truncated axes are acceptable in line charts focused on small variances over time, but generally deceptive in length-based encodings like bar charts).*
*   **Logarithmic vs. Linear Scales:**
    *   *Effect:* Logarithmic scales compress large values and expand small values, transforming exponential curves into straight lines.
    *   *Impact:* A viewer unfamiliar with log scales might interpret steady exponential growth (e.g., disease spread, compound interest) as linear or slow growth, underestimating the true rate of increase. Conversely, log scales are essential when comparing data across several orders of magnitude without squishing smaller data points into invisibility.
*   **Dual Y-Axes:**
    *   *Effect:* Overlaying two variables with different scales on a single plot allows the analyst to arbitrarily adjust the scale bounds of either axis.
    *   *Impact:* This can artificially force lines to intersect or follow similar slopes, creating the illusion of a strong correlation between unrelated variables (spurious correlation).
---
### 2. Bin Width and Granularity (Histograms)
The choice of bin width (or bin count) in histograms controls the balance between variance (noise) and bias (oversmoothing).
*   **Bins Too Narrow (Undersmoothing):**
    *   *Effect:* Captures random sample noise and creates a jagged, discontinuous visual.
    *   *Impact:* Hides the underlying distribution shape (e.g., normal vs. skewed) and makes random variation look like meaningful patterns or sub-clusters.
*   **Bins Too Wide (Oversmoothing):**
    *   *Effect:* Aggregates distinct data points into broad categories.
    *   *Impact:* Masks critical features of the distribution, such as **bimodality** (two peaks) or extreme skewness. For example, an income distribution with a distinct split between low- and high-income groups might appear as a single, smooth central peak if the bin width is too large.
---
### 3. Aspect Ratio and Aspect-Ratio Distortion
*   **Stretching or Compressing Axes:**
    *   *Effect:* Changing the height-to-width ratio of a line plot alters the visual slope of the data</t>
  </si>
  <si>
    <t>A084</t>
  </si>
  <si>
    <t>The **Interquartile Range (IQR) method** is a non-parametric statistical technique used to measure the variability of a dataset by focusing on the middle 50% of the data. 
In exploratory data analysis (EDA), it is primarily used as a robust method for **identifying and filtering outliers**.
---
### 1. How the IQR is Calculated
To compute the IQR, the data is ordered from lowest to highest, and divided into quartiles:
* **$Q1$ (First Quartile / 25th Percentile):** The median of the lower half of the dataset.
* **$Q3$ (Third Quartile / 75th Percentile):** The median of the upper half of the dataset.
The formula for the Interquartile Range is:
$$\text{IQR} = Q3 - Q1$$
---
### 2. How the IQR Method Detects Outliers
The IQR method defines "inner boundaries" (often called "fences") beyond which data points are considered potential outliers. 
1. **Calculate the Boundaries:**
   * **Lower Bound** = $Q1 - (1.5 \times \text{IQR})$
   * **Upper Bound** = $Q3 + (1.5 \times \text{IQR})$
2. **Identify Outliers:**
   Any data point that falls **below the Lower Bound** or **above the Upper Bound** is classified as an **outlier**.
*(Note: A multiplier of $3.0 \times \text{IQR}$ is sometimes used instead of $1.5$ to identify "extreme" outliers.)*
---
### 3. Why Use the IQR Method for Outlier Detection?
* **Robust to Extreme Values:** Unlike methods relying on the mean and standard deviation (such as Z-scores), the IQR relies on percentiles. This means existing extreme values do not distort the boundaries used to detect them.
* **No Distribution Assumptions:** The IQR method is non-parametric; it does not assume that the data follows a normal (Gaussian) distribution, making it suitable for skewed data.
* **Visual Representation:** It is the standard calculation used to construct the "whiskers" and plot individual outlier points in a standard **Box Plot**.</t>
  </si>
  <si>
    <t>A060</t>
  </si>
  <si>
    <t>In data analysis, visualization choice acts as a lens through which data is perceived. Because human visual cognition relies on spatial relationships, geometry, and color to infer statistical relationships, subtle changes in plot configuration can fundamentally alter the conclusions drawn from the same underlying dataset. 
Here is a breakdown of how specific visualization choices influence data interpretation:
---
### 1. Axis Scaling and Ranges
*   **Truncated Y-Axes (Baseline Manipulation):**
    *   *Effect:* Starting a numeric Y-axis at a value other than zero in bar charts exaggerates relative differences between categories. A 2% difference can visually appear as a 200% difference.
    *   *Analytical Impact:* Leads to false conclusions regarding significance or magnitude. While line charts can legitimately truncate axes to highlight variance, bar charts rely on the total visual area/length to represent quantities accurately.
*   **Linear vs. Logarithmic Scales:**
    *   *Effect:* Linear scales display absolute change, whereas logarithmic scales display relative (percentage) change or rates of growth.
    *   *Analytical Impact:* Exponential growth (e.g., viral spread or compound interest) appears as a steep curve on a linear scale, potentially causing panic or overreaction. On a log scale, exponential growth appears as a straight line, making it easier to determine constant rate changes, but non-expert audiences may underappreciate the raw magnitude of larger numbers.
*   **Dual Axes:**
    *   *Effect:* Overlaying two metrics with different scales on a single plot allows arbitrary manipulation of visual intersections by manually setting the min/max of both Y-axes.
    *   *Analytical Impact:* Frequently creates spurious correlations or implies causality between unrelated time series metrics.
---
### 2. Histogram Bin Width and Boundaries
*   **Bins Too Wide (Oversmoothing / High Bias):**
    *   *Effect:* Aggregates too much data into single intervals, smoothing out distribution features.
    *   *Analytical Impact:* Masks multimodal distributions (e.g., two distinct customer segments</t>
  </si>
  <si>
    <t>A061</t>
  </si>
  <si>
    <t>In Exploratory Data Analysis (EDA), the main difference between univariate, bivariate, and multivariate analysis lies in the **number of variables** being analyzed and the **objective** of the analysis.
---
### 1. Univariate Analysis
* **Definition:** Analyzing **one** variable at a time.
* **Objective:** To describe, summarize, and find patterns in a single feature (e.g., distribution, central tendency, spread, and presence of outliers). It does not look at relationships or causes.
* **Key Metrics:** Mean, median, mode, range, variance, standard deviation, skewness, and interquartile range (IQR).
* **Common Visualizations:** Histograms, box plots, bar charts, pie charts, and kernel density plots.
* **Example:** Analyzing the distribution of customer ages in a dataset to find the average age and age range.
---
### 2. Bivariate Analysis
* **Definition:** Analyzing **two** variables simultaneously.
* **Objective:** To determine if there is a relationship, correlation, association, or dependence between two variables.
* **Key Metrics:** Pearson/Spearman correlation coefficient, covariance, Chi-square test statistic, and t-tests.
* **Common Visualizations:** Scatter plots, line graphs, side-by-side box plots, stacked bar charts, and two-way cross-tabulations.
* **Example:** Analyzing the relationship between a person’s height (Variable 1) and weight (Variable 2) to see if taller people tend to weigh more.
---
### 3. Multivariate Analysis
* **Definition:** Analyzing **three or more** variables simultaneously.
* **Objective:** To understand complex relationships, interactions, and dependencies among multiple variables at once, or to reduce the dimensionality of a dataset.
* **Key Techniques:** Multiple regression, Principal Component Analysis (PCA), Cluster Analysis, Factor Analysis, and MANOVA (Multivariate Analysis of Variance).
* **Common Visualizations:** Correlation heatmaps, pair plots (scatterplot matrices), 3D scatter plots, and parallel coordinates plots.
* **Example:** Predicting house prices (dependent variable) using square footage, number of bedrooms, age of the house, and distance to the city center (independent variables).
---
### Summary Comparison Table
| Aspect | Univariate Analysis | Bivariate Analysis | Multivariate Analysis |
| :--- | :--- | :--- | :--- |
| **Number of Variables** | 1 | 2 | 3 or more |
| **Primary Focus** | Data distribution &amp; summary | Relationship between two features | Complex interactions &amp; predictive modeling |
| **Common Plots** | Histogram, Box Plot, Bar Chart | Scatter Plot, Line Chart, Cross-tab | Heatmap, Pair Plot, 3D Scatter Plot |
| **Statistical Focus** | Mean, Median, Variance | Correlation, Covariance, Chi-Square | Multiple Regression, PCA, Clustering |</t>
  </si>
  <si>
    <t>A062</t>
  </si>
  <si>
    <t>Exploratory data analysis (EDA) is not purely automatic because analyzing data requires more than calculating summaries or generating plots. Automated tools can identify correlations, distributions, outliers, missing values, and other patterns, but they cannot reliably determine:
- Which questions are most relevant to the investigation
- Whether a pattern is meaningful or an artifact of measurement, sampling, or data errors
- How domain context affects interpretation
- Which transformations, visualizations, or statistical methods are appropriate
- Whether an unusual observation should be removed, retained, or investigated further
The analyst’s judgment guides the process: they formulate and refine questions, choose suitable summaries and visualizations, assess data quality, interpret patterns in context, and decide what additional analyses are warranted. EDA is therefore iterative—findings from one analysis often lead to new questions and revised analyses.
This judgment is valuable but can also introduce bias, such as selectively emphasizing interesting patterns or pursuing spurious relationships. Analysts should therefore document decisions, use appropriate validation, examine alternative explanations, and distinguish exploratory findings from confirmed conclusions.</t>
  </si>
  <si>
    <t>A063</t>
  </si>
  <si>
    <t>During exploratory analysis, consider transforming a variable when its current scale creates patterns that conflict with the assumptions or goals of the analysis. Common indicators include:
- **Strong skewness:** A histogram, density plot, or boxplot shows a long right or left tail. A log transformation is especially common for strongly right-skewed positive variables.
- **Nonlinear relationships:** A scatterplot shows that the relationship between a variable and the outcome is curved rather than approximately linear. Plotting the outcome against the variable and against transformed versions—such as \(\log(x)\), \(\sqrt{x}\), or \(x^2\)—can reveal a more suitable form.
- **Nonconstant variance:** In a scatterplot or regression residual plot, the spread of the outcome increases with the fitted values or with a predictor, producing a funnel shape. A log transformation of the outcome or predictor may stabilize the variance.
- **Outliers driven by scale:** A few very large values dominate plots or summary statistics. A transformation can reduce their leverage, though it should not be used merely to hide genuine anomalous observations.
- **Multiplicative or exponential behavior:** If proportional changes are more meaningful than absolute changes—for example, income, population, counts, or concentrations—a logarithmic scale may better represent the process.
- **Improved model diagnostics:** After fitting a preliminary model, compare residual-vs-fitted plots, Q–Q plots, leverage, and influence diagnostics before and after transformation. A useful transformation typically improves linearity, variance stability, and residual behavior.
For a log transformation specifically:
- The variable must be **strictly positive**.
- If zeros occur, analysts sometimes use \(\log(x+c)\), but the choice of \(c\) affects interpretation; alternatives such as a model designed for counts or a suitable likelihood may be preferable.
- Negative values cannot be log-transformed without a substantively justified re-expression.
Transformation is not required simply because a variable is non-normal. In regression, predictors do not generally need to be normally distributed; the main concerns are the relationship form, residuals, variance, and interpretability. Use domain knowledge as well as plots and diagnostics, and compare the transformed and untransformed analyses for interpretability and robustness.</t>
  </si>
  <si>
    <t>A064</t>
  </si>
  <si>
    <t>A083</t>
  </si>
  <si>
    <t>- **Univariate analysis** examines **one variable** at a time.  
  - Purpose: describe its distribution, central tendency, and variability.  
  - Examples: mean income, age histogram, gender frequency table.
- **Bivariate analysis** examines the relationship between **two variables**.  
  - Purpose: determine whether and how the variables are associated.  
  - Examples: correlation between height and weight, a scatterplot of advertising spend versus sales, or a chi-square test of gender and product preference.
- **Multivariate analysis** examines **three or more variables** simultaneously.  
  - Purpose: understand multiple relationships, account for confounding variables, or predict an outcome.  
  - Examples: multiple linear regression predicting sales from advertising spend, price, and season; or principal component analysis on many measurements.
In short: **univariate = one variable, bivariate = two, multivariate = three or more**.</t>
  </si>
  <si>
    <t>Exploratory data analysis (EDA) is usually an iterative process, but it commonly follows this order:
1. **Define the objective**
   - Clarify the question, business problem, or hypothesis.
   - Identify the outcome or variables of interest.
2. **Collect and understand the data**
   - Load the dataset and review its source, structure, units, and definitions.
   - Examine the number of rows and columns and identify variable types.
3. **Assess data quality**
   - Check for missing values, duplicates, invalid entries, inconsistent formats, and implausible values.
   - Investigate potential sampling or measurement biases.
4. **Prepare the data**
   - Correct data types and formats.
   - Handle missing values and duplicates.
   - Standardize or recode variables where appropriate.
   - Document any assumptions and changes.
5. **Explore individual variables**
   - For numerical variables: calculate summary statistics and inspect distributions using histograms, density plots, or box plots.
   - For categorical variables: examine frequencies and proportions.
6. **Explore relationships between variables**
   - Use cross-tabulations, grouped summaries, scatter plots, box plots, correlation measures, or other appropriate techniques.
   - Compare variables across relevant groups.
7. **Investigate patterns and anomalies**
   - Look for trends, clusters, outliers, seasonality, nonlinear relationships, and possible confounding factors.
   - Check whether findings are robust or driven by a small number of observations.
8. **Transform or engineer variables if needed**
   - Apply transformations such as logarithms or standardization.
   - Create derived variables, aggregates, or time-based features when justified by the analysis goal.
9. **Formulate and test preliminary hypotheses**
   - Develop explanations for observed patterns.
   - Use appropriate statistical tests or models as a follow-up, while recognizing that EDA findings are generally exploratory rather than definitive.
10. **Summarize and communicate findings**
    - Present key patterns, limitations, data-quality issues, and unanswered questions.
    - Use clear visualizations and document the analysis so it can be reproduced.
In practice, analysts often move back and forth between these steps—for example, discovering an outlier during visualization may require returning to data-quality assessment or preparation.</t>
  </si>
  <si>
    <t>A066</t>
  </si>
  <si>
    <t>**Skewness** describes the asymmetry of a distribution around its center.
- **Right (positive) skew:** a long or heavy tail toward larger values. Typically, mean &gt; median.
- **Left (negative) skew:** a long or heavy tail toward smaller values. Typically, mean &lt; median.
- **Near-zero skewness:** the distribution is approximately symmetric, although zero skewness does not guarantee a perfectly symmetric distribution.
A strongly skewed distribution affects summary statistics because extreme observations in the long tail can have a large influence:
- The **mean** is pulled toward the tail and may not represent a typical observation.
- The **standard deviation** is also sensitive to extreme values and may poorly describe the spread.
- The **median** is more robust and often better represents the center.
- The **interquartile range (IQR)** or other percentile ranges are more robust measures of spread than the standard deviation.
For strongly skewed data, it is often preferable to report the **median with the IQR**—or selected percentiles—rather than the mean with the standard deviation. A histogram or box plot should also be used to show the shape. If appropriate, a transformation such as a logarithm can reduce right skewness, after which mean and standard deviation may be more informative on the transformed scale.</t>
  </si>
  <si>
    <t>A089</t>
  </si>
  <si>
    <t>A067</t>
  </si>
  <si>
    <t>Removing outliers automatically or blindly—without understanding why they exist—can severely compromise the integrity of an analysis. 
### Why Removing Outliers on Its Own Can Be Problematic
1. **Loss of Genuine and Critical Information:** Outliers often represent real, high-value phenomena (e.g., fraudulent transactions, rare disease cases, extreme market events, or scientific breakthroughs). Deleting them removes the very signal you might be trying to detect.
2. **Underestimation of Variance and Risk:** Stripping extreme values artificially reduces the variance and standard deviation of the dataset. This leads to overly narrow confidence intervals, inflated statistical significance ($p$-values that look artificially good), and an underestimation of real-world risk.
3. **Misrepresentation of the Underlying Distribution:** Many real-world phenomena follow heavy-tailed distributions (like power-law or Pareto distributions, such as income or website traffic) rather than a normal distribution. Removing outliers forces an incorrect, artificial shape onto the data.
4. **Poor Model Generalization:** A machine learning model trained on data stripped of valid extreme values will perform poorly in production when it inevitably encounters those extremes in real life.
5. **Introduction of Selection Bias:** Arbitrarily dropping data points to improve fit metrics (like $R^2$) introduces confirmation bias, tailoring the dataset to fit a desired narrative rather than reflecting reality.
---
### What the Decision to Keep or Remove Should Depend On
The decision to keep, remove, or modify an outlier should depend on four main factors:
#### 1. The Root Cause of the Outlier
* **Data Entry or Measurement Errors:** (e.g., a human typing a age as `200` or a sensor failing and outputting `-999`). **Decision:** Fix the error if the true value is known, or drop/impute the value.
* **Sampling Errors / Out-of-Scope Data:** (e.g., a B2B corporate purchase accidentally included in a B2C retail dataset). **Decision:** Remove or segment into a separate analysis group.
* **True Natural Variation:** (e.g., a high-net-worth individual in a wealth survey). **Decision:** **Keep.** The data point is valid.
#### 2. Domain Knowledge and Context
Data analysts must consult domain experts or context rules to determine if an extreme value is physically, logically, or operationally possible. If an observation is valid within the domain's reality, it should generally not be deleted.
#### 3. The Objective of the Analysis
* **Predicting Extreme Events:** If the goal is fraud detection, network intrusion detection, or risk management, the outliers *are* the primary focus of the study.
* **Understanding Central Tendency:** If the goal is to model typical, everyday behavior, outliers can skew parameter estimates. However, instead of deletion, robust alternatives are preferred (e.g., using the median instead of the mean, or using robust regression techniques).
#### 4. The Algorithm or Analytical Method Used
* **Sensitive Algorithms:** Methods like Linear Regression, $k$-Means Clustering, and Neural Networks are heavily distorted by outliers. 
* **Robust Algorithms:** Tree-based models (e.g., Decision Trees, Random Forests) and non-parametric tests handle outliers well without requiring removal.
* **Alternative Approaches:** Rather than dropping data, analysts can use techniques like **capping/winsorizing** (setting extreme values to a specific percentile threshold</t>
  </si>
  <si>
    <t>A068</t>
  </si>
  <si>
    <t>**Skewness** describes the asymmetry of a distribution around its center.
- **Zero or low skewness:** The distribution is approximately symmetric.
- **Positive (right) skewness:** A long or heavy tail extends toward larger values. Typically,  
  \[
  \text{mean} &gt; \text{median}.
  \]
- **Negative (left) skewness:** A long or heavy tail extends toward smaller values. Typically,  
  \[
  \text{mean} &lt; \text{median}.
  \]
Skewness is often summarized using a standardized third central moment, but the numerical skewness coefficient can be sensitive to outliers and should be interpreted alongside a histogram, density plot, or quantile plot.
For a **strongly skewed distribution**:
- The **mean** can be pulled substantially toward the long tail and may not represent a “typical” observation.
- The **standard deviation** can also be heavily affected by extreme values.
- The **median** is usually a more robust measure of central tendency.
- The **interquartile range (IQR)** or other percentile ranges are generally preferable to the standard deviation for describing spread.
- It is often useful to report the **median with the IQR**, or several quantiles such as the 25th, 50th, and 75th percentiles.
- If a mean is relevant—for example, for totals, budgets, or theoretical modeling—it should be reported with a clear indication of the skewness and possibly alongside the median.
- Transformations such as a **log transformation** may reduce right skewness, especially for positive-valued data, but the results then need to be interpreted on the transformed or back-transformed scale carefully.
Thus, strong skewness does not automatically invalidate the mean, but it makes median- and quantile-based summaries more informative and robust.</t>
  </si>
  <si>
    <t>A069</t>
  </si>
  <si>
    <t>E0_04</t>
  </si>
  <si>
    <t>Uni-, bi-, multivariat</t>
  </si>
  <si>
    <t>As a data analyst, understanding the limitations of the correlation coefficient (most commonly Pearson’s $r$) is as critical as understanding what it measures. While it quantifies the **strength and direction of a linear relationship** between two continuous variables, relying on it blindly can lead to severely flawed conclusions.
Here is a breakdown of what a correlation coefficient **does not** tell you, followed by the **common fallacies** in its interpretation.
---
### Part 1: What a Correlation Coefficient DOES NOT Tell You
1. **Non-Linear Relationships**
   * Pearson's correlation only measures *linear* trends. If two variables have a strong non-linear relationship (e.g., U-shaped, exponential, or sinusoidal), the correlation coefficient can be close to $0$, falsely suggesting no relationship exists.
2. **Causation and Directionality**
   * It indicates that two variables move together, but it cannot tell you if $X$ causes $Y$, $Y$ causes $X$, or if both are driven by an unobserved third variable ($Z$).
3. **The Slope or Magnitude of Effect**
   * $r$ measures the *tightness* of points around a straight line, not the steepness of the line. A slope of $0.0001$ and a slope of $100$ can both have a perfect correlation of $r = 1.0$.
4. **The Impact of Outliers**
   * A single outlier can drastically inflate a correlation (making uncorrelated data look correlated) or deflate it (making a strong relationship look weak). The summary statistic $r$ hides these anomalies.
5. **Data Distribution and Structure**
   * As famously demonstrated by **Anscombe’s Quartet** (and the *Datasaurus Dozen*), completely different datasets with wildly different distributions, curves, and clusters can produce the exact same correlation coefficient.
6. **Extrapolation Limits**
   * A strong correlation within a specific observed range does not guarantee the relationship holds outside that range.
---
### Part 2: Common Fallacies in Interpretation
#### 1. The "Correlation Implies Causation" Fallacy (*Cum Hoc Ergo Propter Hoc*)
* **The Error:** Assuming that because $X$ and $Y$ move together, $X$ must be causing $Y$.
* **Example:** Ice cream sales and forest fires are strongly positively correlated. 
* **The Reality:** Both are driven by a confounding/lurking variable: high summer temperatures.
#### 2. The Linearity Fallacy (Assuming Zero Means Independent)
* **The Error:** Claiming two variables are independent because $r = 0$.
* **The Reality:** $r = 0$ only means there is no *linear* association. The variables could be perfectly dependent in a non-linear way (e.g., $Y = X^2$</t>
  </si>
  <si>
    <t>A070</t>
  </si>
  <si>
    <t>### What Skewness Means
**Skewness** is a measure of the asymmetry of a real-valued random variable's probability distribution about its mean. It indicates whether the data points are distorted or shifted to the left or right compared to a symmetric "bell curve" (normal distribution).
*   **Positive Skew (Right-Skewed):** The tail on the right side of the distribution is longer or thicker than the left side. Most of the data is concentrated at lower values, with a few extreme high values stretching the right tail (e.g., household income, response times).
    *   *Relationship:* $\text{Mean} &gt; \text{Median} &gt; \text{Mode}$
*   **Negative Skew (Left-Skewed):** The tail on the left side of the distribution is longer or thicker than the right side. Most of the data is concentrated at higher values, with a few extreme low values stretching the left tail (e.g., age at retirement).
    *   *Relationship:* $\text{Mean} &lt; \text{Median} &lt; \text{Mode}$
*   **Zero Skew:** The distribution is perfectly symmetric (e.g., a standard normal distribution).
    *   *Relationship:* $\text{Mean} = \text{Median} = \text{Mode}$
---
### Consequences for Choice of Summary Statistics
A strongly skewed distribution distorts parametric summary statistics, rendering them unrepresentative of the data's true center and spread. 
#### 1. Measures of Central Tendency
*   **Mean is misleading:** The arithmetic mean accounts for the magnitude of every data point. In a strongly skewed distribution, extreme values in the tail "pull" the mean away from the center of the bulk of the data. 
    * *Consequence:* Avoid using the **Mean**. Use the **Median** instead. The median represents the 50th percentile and is *robust* to extreme values, making it a accurate representation of a "typical" observation.
#### 2. Measures of Dispersion (Spread)
*   **Standard Deviation is inflated:** Standard deviation calculates variability based on squared deviations from the mean. Because the mean is pulled into the tail, and squared differences heavily penalize extreme values, the standard deviation becomes artificially inflated.
    * *Consequence:* Avoid using **Standard Deviation** and **Variance**. Use the **Interquartile Range (IQR)** instead. The IQR ($Q_3 - Q_1$) measures the spread of the middle 50% of the data and is unaffected by the values in the extreme tails.
---
### Summary Recommendation for Analysts
| Feature | Symmetric Distribution | Strongly Skewed Distribution |
| :--- | :--- | :--- |
| **Central Tendency** | **Mean** | **Median** |
| **Dispersion / Spread** | **Standard Deviation** | **Interquartile Range (IQR)** |
| **Best Overall Metric Set** | Mean &amp; Standard Deviation | **Five-Number Summary**&lt;br&gt;*(Min, $Q_1$, Median, $Q_3$, Max)* |</t>
  </si>
  <si>
    <t>A071</t>
  </si>
  <si>
    <t>The **median is preferable to the mean** when the data are:
- **Skewed**: The median is less affected by extreme values in a long tail.
- **Contain outliers**: A few unusually large or small observations can substantially shift the mean, while the median remains more representative of the typical value.
- **Ordinal or ranked**: For data such as satisfaction ratings or class rankings, the median is appropriate because the distances between categories may not be meaningfully equal.
- **Not well described by a symmetric distribution**: The median better represents the central position when values are unevenly distributed.
For example, in a neighborhood where most homes cost around $300,000 but one costs $5 million, the **mean** will be pulled upward, whereas the **median** will better reflect the typical home price.
The mean is generally preferable when the data are quantitative, reasonably symmetric, and free of influential outliers, especially when subsequent statistical analyses rely on its mathematical properties.</t>
  </si>
  <si>
    <t>A072</t>
  </si>
  <si>
    <t>Exploratory Data Analysis (EDA) is not a purely automatic process because statistical computation alone cannot interpret context, infer intentionality, or understand the underlying real-world systems that generated the data. While automated tools can rapidly generate summary statistics, missing value reports, and correlation matrices, they lack the cognitive ability to make sense of *why* data behaves the way it does.
Here is a breakdown of why EDA requires human interaction and the specific ways an analyst's judgment shapes the process.
---
### Why EDA Cannot Be Fully Automated
1. **Lack of Domain Context:**
   Automated systems treat numbers as abstract mathematical entities. They cannot recognize that a value of `-999` in a temperature dataset is a placeholder for missing data rather than an extreme measurement, or that a sudden drop in sales on December 25th is due to a holiday rather than an operational failure.
2. **Correlation vs. Causality and Spurious Relationships:**
   Automated algorithms can identify strong mathematical correlations between completely unrelated variables (e.g., ice cream sales and shark attacks). An analyst is needed to recognize confounding variables (e.g., warm weather) and prevent false conclusions.
3. **Open-Ended and Iterative Nature:**
   EDA is a process of hypothesis generation, not just hypothesis testing. It rarely follows a linear script. An unexpected pattern in a scatter plot often prompts an analyst to ask a new question, pivot the investigation, merge external data sources, or slice the data differently—steps an automated script cannot anticipate.
4. **Ambiguity in Data Quality:**
   Algorithms struggle to differentiate between data entry errors, system glitches, and genuine, high-value anomalies (such as fraudulent transactions or rare medical conditions). Deciding whether an extreme value is "trash" or "insight" requires human evaluation.
---
### The Role of the Analyst’s Judgment
The analyst’s judgment guides every phase of the EDA workflow:
* **Defining the Objective and Framing Questions:**
  The analyst determines what questions are relevant to the problem at hand, ensuring the analysis aligns with business or research goals rather than exploring data aimlessly.
* **Making Data Preprocessing Decisions:**
  * **Missing Data:** Judgment dictates whether to drop rows, impute values (using mean, median, or predictive models), or encode missingness as a distinct feature based on *why* the data is missing (Missing Completely at Random vs. Missing Not at Random).
  * **Outlier Treatment:** The analyst decides whether to remove, cap, transform, or retain outliers based on domain rules and the downstream modeling strategy.
* **Feature Engineering:**
  Creating new variables from raw data (e.g., converting timestamps into "is_weekend" flags or calculating debt-to-income ratios) requires domain expertise and intuition about what drivers might influence the target outcome.
* **Selecting Appropriate Visualizations and Aggregations:**
  An analyst chooses specific chart types, bin sizes, and scales (e.g., linear vs. logarithmic) to expose hidden distributions, skewness, or subtle subgroup interactions that standard summary tables obscure.
* **Synthesizing and Translating Findings:**
  Ultimately, EDA must lead to decision-making. The analyst evaluates the</t>
  </si>
  <si>
    <t>A073</t>
  </si>
  <si>
    <t>A Pearson correlation coefficient ($r$) close to zero indicates the absence of a **linear relationship**, but it does not mean that no relationship exists. 
Here are the primary reasons why a relationship might still exist:
1. **Non-Linear (Curvilinear) Relationships:**
   Pearson’s correlation specifically measures the strength and direction of a *straight-line* relationship. If two variables have a strong non-linear relationship (e.g., quadratic, exponential, or U-shaped), the positive and negative slopes in different regions of the data cancel each other out, resulting in $r \approx 0$. 
   * *Example:* For $y = x^2$ evaluated over the interval $x \in [-10, 10]$, $y$ is completely determined by $x$, yet the Pearson correlation coefficient is exactly $0$.
2. **Presence of Outliers:**
   A single extreme outlier or a small group of influential data points can pull a strong linear correlation down to near zero, masking the underlying relationship present in the rest of the dataset.
3. **Subgroup Masking (Simpson’s Paradox):**
   If the data consists of distinct subgroups with strong positive correlations, but the groups themselves are shifted relative to one another, the aggregate correlation across all combined data can equal zero.
4. **Restriction of Range:**
   If the range of one of the variables is severely truncated or restricted in the sample, an existing strong relationship may appear flat or random, driving $r$ close to zero.
**Best Practice:** Always inspect a **scatter plot** of the variables alongside calculating the Pearson correlation coefficient to visually identify non-linear patterns, outliers, or subgrouping.</t>
  </si>
  <si>
    <t>A074</t>
  </si>
  <si>
    <t>The **median** is preferable to the **mean** primarily when working with **skewed distributions** or datasets that contain **extreme outliers**. 
Here is a detailed breakdown of **when** to use the median and **why**.
---
### **When to Use the Median**
1. **When Data Has Outliers**
   * *Example:* Measuring the average wealth of people in a room that suddenly includes a billionaire. 
   * *Impact:* A single massive value will drastically inflate the mean, making the group appear much wealthier than it actually is. The median remains unaffected.
2. **When the Distribution is Skewed (Non-Symmetrical)**
   * *Example:* Household income, real estate prices, or duration of customer service calls.
   * *Impact:* Most incomes cluster on the lower-to-middle end, but a small percentage of high earners creates a long right tail (positive skew). The mean gets pulled toward the tail, whereas the median stays at the center of the density.
3. **When Data is Ordinal**
   * *Example:* Customer satisfaction surveys (e.g., *Very Dissatisfied, Dissatisfied, Neutral, Satisfied, Very Satisfied*).
   * *Impact:* Ordinal data has a natural rank/order, but the distance between categories is not mathematically defined. You cannot compute a meaningful arithmetic mean on non-numeric categories, but you can order them and find the middle value (median).
4. **When Data Contains Open-Ended Categories**
   * *Example:* Age groups where the highest category is "65 and older."
   * *Impact:* Because you do not have an exact upper numeric bound to multiply or sum, you cannot calculate an exact mean. However, as long as the median falls within a defined lower bin, it can still be calculated accurately.
---
### **Why the Median is Preferable (Statistical Reasons)**
#### 1. **Robustness Against Extremes**
* **The Mean** uses every exact value in its calculation ($\bar{x} = \frac{\sum x}{n}$). Consequently, changing a single extreme value changes the mean significantly.
* **The Median** is a **robust statistic**. It depends only on the *order* and *position* of values, not their magnitude at the extremes. Changing the highest value in a dataset from $100$ to $1,000,000$ does not change the median at all.
#### 2. **Better Representation of the "Typical" Value**
* In a symmetric distribution (like a normal distribution), $\text{Mean} = \text{Median} = \text{Mode}$. 
* In a skewed distribution, the mean is pulled away from the bulk of the data toward the tail. 
* The median represents the exact **50</t>
  </si>
  <si>
    <t>A075</t>
  </si>
  <si>
    <t>The **median** is preferable to the **mean** as a measure of central tendency under three primary conditions:
### 1. When the Data is Skewed (Asymmetric Distributions)
* **When:** In distributions that have a long tail to the right (right-skewed/positively skewed) or to the left (left-skewed/negatively skewed). Common real-world examples include household income, real estate prices, net worth, and website visit durations.
* **Why:** In a skewed distribution, extreme values in the tail pull the mean toward them. The median represents the exact 50th percentile—half the observations lie above it, and half lie below it—making it a better representation of a "typical" data point.
  * *Example:* In a country where 9 people earn \$50,000 and 1 person earns \$10,000,000, the **mean** income is \$1,045,000 (misleadingly high), while the **median** income is \$50,000 (representative of the population).
---
### 2. When Outliers are Present
* **When:** When a dataset contains extreme high or low values due to measurement errors, rare events, or natural data variance.
* **Why:** The mean is mathematically sensitive to every value in the dataset ($\bar{x} = \frac{\sum x}{n}$). A single extreme value can drastically change the mean. The median is a **robust** statistic; changing the magnitude of extreme values does not affect the median as long as their order relative to the center remains the same.
  * *Example:*
    * Dataset A: `[2, 3, 4, 5, 6]` $\rightarrow$ **Mean = 4**, **Median = 4**
    * Dataset B (with outlier): `[2, 3, 4, 5, 100]` $\rightarrow$ **Mean = 22.8**, **Median = 4**
    * In Dataset B, 22.8 is larger than 80% of the data, making it a poor metric for central tendency, whereas the median remains unaffected.
---
### 3. When the Data is Ordinal
* **When:** When dealing with ordered, categorical data where intervals between values are not necessarily equal or strictly defined (e.g., Likert scales: *Strongly Disagree, Disagree, Neutral, Agree, Strongly Agree*, or customer ratings from 1 to 5 stars).
* **Why:** Calculating a mean requires continuous quantitative data where arithmetic distances between numbers are meaningful. Because ordinal data only conveys rank order and not precise</t>
  </si>
  <si>
    <t>A076</t>
  </si>
  <si>
    <t>Visualization choices can substantially affect what patterns appear salient, while the underlying data remain unchanged.
- **Axis scaling**
  - A **truncated axis** can make small differences look large. For example, values of 98 and 100 appear very different if the y-axis starts at 97, but nearly identical if it starts at 0.
  - A **logarithmic scale** is useful for data spanning several orders of magnitude and for showing relative or multiplicative changes. However, it can make absolute differences harder to assess and cannot directly display zero or negative values.
  - Unequal axis scales or aspect ratios can exaggerate or minimize slopes, variability, and correlations.
- **Histogram bin width**
  - **Narrow bins** reveal fine structure but may produce a noisy, fragmented distribution.
  - **Wide bins** create a smoother, simpler display but can hide clusters, gaps, skewness, or outliers.
  - Different bin origins can also change the apparent pattern, especially with regular or periodic data.
- **Smoothing and aggregation**
  - Moving averages, trend lines, and other smoothing methods can clarify broad trends but may conceal short-term variation, turning points, or unusual observations.
  - Aggregating data—such as showing monthly rather than daily values—can hide within-period variation and may create or obscure relationships.
- **Color, scale, and visual emphasis**
  - Color schemes can imply intensity or importance. A nonuniform color scale may exaggerate differences in some ranges.
  - Bubble area, 3-D effects, and pictorial symbols can make comparisons misleading because people estimate area or volume less accurately than position or length.
  - Overplotting can hide dense regions, while transparency or sampling can make sparse regions appear more prominent.
- **Choice of chart type**
  - Bar charts are generally effective for comparing magnitudes, while line charts emphasize trends over an ordered axis.
  - Pie charts make precise comparisons difficult, particularly with many categories.
  - A scatterplot may reveal relationships and outliers that summary statistics obscure.
Good practice is to choose scales and transformations appropriate to the measurement context, label them clearly, show relevant baselines, examine multiple reasonable bin widths or smoothing settings, and avoid design choices that exaggerate or conceal differences.</t>
  </si>
  <si>
    <t>A077</t>
  </si>
  <si>
    <t>### What Skewness Means
**Skewness** is a statistical measure that quantifies the asymmetry of a probability distribution around its mean. It indicates whether the data points are spread symmetrically or if they lean more toward one side, creating a "tail."
There are three main types of skewness:
1. **Positive Skew (Right-Skewed):** 
   * The right tail (higher values) is longer or thicker than the left tail.
   * Most data points are concentrated on the left (lower values).
   * **Relationship:** $\text{Mean} &gt; \text{Median} &gt; \text{Mode}$
   * *Example:* Household income, where most people earn average wages, but a small number of high earners stretch the tail to the right.
2. **Negative Skew (Left-Skewed):** 
   * The left tail (lower values) is longer or thicker than the right tail.
   * Most data points are concentrated on the right (higher values).
   * **Relationship:** $\text{Mean} &lt; \text{Median} &lt; \text{Mode}$
   * *Example:* Age at natural death, where most people live to an older age, but a smaller number die significantly younger.
3. **Zero Skew (Symmetric):** 
   * The left and right sides of the distribution are mirror images (e.g., a Normal Distribution).
   * **Relationship:** $\text{Mean} \approx \text{Median} \approx \text{Mode}$
---
### Consequences for Summary Statistics
When a distribution is strongly skewed, traditional summary statistics—specifically parametric ones—become misleading because extreme values in the tail distort the calculations. 
#### 1. Measures of Central Tendency (Location)
* **The Mean fails as a measure of "typicality":** The mean incorporates every exact value in the dataset. Extreme values in the tail heavily pull the mean in the direction of the skew. In a strongly positive skewed distribution, the mean will be higher than the vast majority of the data points, making it a poor representation of a "typical" value.
* **The Median is preferred:** The median is a rank-based statistic (the 50th percentile) and is **robust** to extreme values. It reflects the true midpoint of the distribution regardless of how far out the tail extends.
#### 2. Measures of Dispersion (Spread)
* **Standard Deviation and Variance fail:** Both statistics rely on squared deviations from the *mean*. Because the mean is already shifted by the skewness, and the squared differences magnify the influence of the long tail, the standard deviation becomes disproportionately large and difficult to interpret.
* **Interquartile Range (IQR) is preferred:** The IQR measures the range of the middle 50% of the data ($Q_3 - Q_1$). Like the median, it is non-parametric and unaffected by extreme values in the tails.
---
### Summary Guidelines for EDA
| Distribution Shape | Recommended Central Tend</t>
  </si>
  <si>
    <t>Exploratory Data Analysis (EDA) is an iterative process used to understand a dataset's structure, identify patterns, spot anomalies, and test underlying assumptions before applying formal statistical modeling or machine learning. 
While EDA is non-linear and often involves looping back to previous steps as new insights emerge, it typically follows a standard sequence:
---
### 1. Data Ingestion and First Inspection (Data Profiling)
* **Objective:** Understand the scale, structure, and basic properties of the raw data.
* **Key Tasks:**
  * Load data into the analytical environment (e.g., Python, R, SQL).
  * Inspect dataset dimensions (number of rows and columns).
  * Check data types (numeric, categorical, datetime, boolean).
  * Inspect the first and last few rows (head/tail) to verify structure.
### 2. Data Quality Audit and Cleaning
* **Objective:** Identify data quality issues that could distort subsequent analysis.
* **Key Tasks:**
  * **Missing Values:** Identify missing, null, or placeholder values (e.g., `NaN`, `999`) and decide whether to drop, impute, or flag them.
  * **Duplicates:** Check for and remove duplicate rows or records.
  * **Data Type Corrections:** Convert variables to appropriate data types (e.g., strings to dates, floats to integers).
  * **Structural Errors:** Fix inconsistent naming conventions, typos, or inconsistent units.
### 3. Univariate Analysis (Analyzing Single Variables)
* **Objective:** Understand the distribution, central tendency, spread, and anomalies of each variable individually.
* **Key Tasks:**
  * **Numerical Variables:** Calculate summary statistics (mean, median, mode, variance, standard deviation, skewness, IQR). Visualize distributions using histograms, density plots (KDE), and box plots to detect outliers.
  * **Categorical Variables:** Calculate frequency counts and proportions. Visualize using bar charts or pie charts.
### 4. Bivariate Analysis (Analyzing Pairs of Variables)
* **Objective:** Explore relationships, correlations, and dependencies between two variables.
* **Key Tasks:**
  * **Numeric vs. Numeric:** Scatter plots, line charts, and Pearson/Spearman correlation coefficients.
  * **Categorical vs. Numeric:** Grouped summary statistics (e.g., mean sales by region), box plots split by category, or ANOVA testing.
  * **Categorical vs. Categorical:** Cross-tabulations (contingency tables), stacked bar charts, and Chi-Square tests.
### 5. Multivariate Analysis (Analyzing Three or More Variables)
* **Objective:** Uncover complex interaction effects, conditional relationships, and high-dimensional patterns.
* **Key Tasks:**
  * Correlation heatmaps across all numerical features.
  * Pairwise scatter plots (pairplots) grouped by a categorical variable (e.g., color-coding).
  * Dimensionality reduction techniques (e.g., PCA, t-SNE) to visualize high-dimensional data in 2D or 3</t>
  </si>
  <si>
    <t>Feature Engineering wird nicht genannt</t>
  </si>
  <si>
    <t>A079</t>
  </si>
  <si>
    <t>Removing outliers automatically can be problematic because:
- **They may be valid observations**, representing real but rare cases rather than errors.
- **They can contain important information**, such as unusual failures, high-risk customers, or extreme events.
- **Their removal can bias results**, change distributions, and understate variability.
- **“Outlier” depends on the method and context**—a point may be extreme statistically but reasonable in the real-world setting.
- **Deleting observations can hide data-quality or process problems** rather than addressing their cause.
The decision should depend on:
1. **Why the observation is extreme**—measurement/data-entry error, sampling issue, or genuine event.
2. **The study’s purpose and domain context**—whether rare cases are relevant to the question.
3. **The influence on the analysis**—how much conclusions change with and without the observation.
4. **The statistical assumptions and method being used**—some analyses are more sensitive to extremes than others.
5. **Whether alternatives are appropriate**, such as correcting errors, transforming variables, using robust methods, or reporting results with and without the observations.
Outliers should therefore be investigated and documented, not removed solely because they are unusual.</t>
  </si>
  <si>
    <t>A080</t>
  </si>
  <si>
    <t>Exploratory Data Analysis (EDA) is not a purely automatic process because, while automated tools can rapidly compute summary statistics and generate visualizations, **data does not exist in a vacuum**. EDA is an open-ended, hypothesis-driven investigation where data must be interpreted within a specific real-world context. 
Automated scripts can reveal *what* is in the data, but human judgment is required to understand *why* it matters and *what to do next*.
---
### Why EDA Cannot Be Purely Automatic
1. **Context and Domain Ignorance:** Algorithms do not inherently understand what the data represents. An automated tool cannot distinguish between a data entry error (e.g., an age of 999) and a legitimate, high-value extreme event (e.g., a $1 million financial transaction).
2. **The Non-Linear Nature of Investigation:** EDA is iterative, not a fixed linear pipeline. Discoveries made in one step dictate the direction of the next. Automation follows rigid rules, whereas human analysts follow intuitive leads, adjusting their strategy based on emerging patterns.
3. **Nuances in Data Quality:** Missing data is not just a statistical problem; it is a behavioral or operational one. Automated tools may apply a blanket rule (like replacing missing values with the mean), but deciding whether missing data is random, systematic, or informative requires logical deduction.
4. **Spurious Relationships and Paradoxes:** Automated systems easily detect correlations, but they cannot evaluate whether those correlations make practical sense. They are also blind to logical fallacies like Simpson’s Paradox (where a trend appears in different groups of data but disappears or reverses when these groups are combined) without human intervention to group the data meaningfully.
---
### The Role of Analyst Judgment in EDA
The analyst’s judgment bridges the gap between raw statistical output and actionable business or scientific intelligence. Specifically, judgment is required in the following areas:
* **Defining the Problem and Context:** The analyst frames the analysis around specific domain-driven questions, deciding which variables are logically relevant to the problem at hand.
* **Handling Outliers and Missing Values:** The analyst evaluates the root cause of data anomalies. They decide whether an outlier should be removed (as noise), corrected (as an error), transformed, or isolated for further study (as fraud or system failure).
* **Feature Engineering:** Analysts use domain knowledge to construct new variables that algorithms would not intuitively generate—for example, creating a "debt-to-income ratio" from separate "debt" and "income" columns because it holds economic significance.
* **Evaluating Trade-offs:** Analysts make critical methodological trade-offs, such as deciding between data aggregation (which simplifies interpretation but loses detail) and granularity (which preserves detail but increases noise).
* **Distinguishing Signal from Noise:** Analysts determine whether an observed pattern represents a meaningful, reproducible insight or merely a random statistical artifact.
* **Determining "Stopping Criteria":** Because exploration can be</t>
  </si>
  <si>
    <t>### What is the IQR Method?
The **Interquartile Range (IQR) method** is a non-parametric statistical technique used to measure the spread or dispersion of the middle 50% of a dataset. 
It is calculated by finding the difference between the third quartile ($Q3$) and the first quartile ($Q1$):
$$\text{IQR} = Q3 - Q1$$
* **$Q1$ (25th Percentile):** The value below which 25% of the data falls.
* **$Q3$ (75th Percentile):** The value below which 75% of the data falls.
* **IQR:** The range containing the central 50% of the data points.
---
### How is it used for Outlier Detection?
In outlier detection, the IQR method defines a "normal" range of values based on the dataset's spread. Any data point that falls outside this range is identified as a potential outlier.
#### Step-by-Step Outlier Detection Process:
1. **Calculate $Q1$ and $Q3$** for the dataset.
2. **Calculate the IQR:** $\text{IQR} = Q3 - Q1$.
3. **Determine the Lower and Upper Bounds (Fences):**
   * **Lower Bound:** $Q1 - (1.5 \times \text{IQR})$
   * **Upper Bound:** $Q3 + (1.5 \times \text{IQR})$
4. **Identify Outliers:** 
   * Any data point **$&lt; \text{Lower Bound}$** is a lower-tail outlier.
   * Any data point **$&gt; \text{Upper Bound}$** is an upper-tail outlier.
*(Note: The multiplier $1.5$ is the standard convention established by statistician John Tukey. A multiplier of $3.0$ is sometimes used to identify "extreme" outliers.)*
---
### Why Use the IQR Method?
* **Robust to Outliers:** Unlike the mean and standard deviation, $Q1$, $Q3$, and the IQR are not easily skewed by extreme values, making this method reliable for noisy data.
* **No Distribution Assumption:** It is a non-parametric method, meaning it does not assume the data follows a normal (Gaussian) distribution. It works well on skewed distributions.
* **Visual Representation:** It forms the statistical basis for **Box Plots** (Box-and-Whisker plots), where the "whiskers" typically extend to the $1.5 \times \text{IQR}$ bounds, and points beyond are plotted individually as outliers.</t>
  </si>
  <si>
    <t>A082</t>
  </si>
  <si>
    <t>Testing too many hypotheses on the same dataset during the exploratory phase introduces several statistical, analytical, and practical risks:
### 1. The Multiple Testing Problem (Type I Error Inflation)
The primary statistical risk is a dramatic increase in **false positives** (Type I errors). 
* When testing a single hypothesis at a standard significance level ($\alpha = 0.05$), there is a 5% chance of falsely identifying a random pattern as statistically significant.
* As the number of tests ($k$) increases, the probability of obtaining at least one false positive—known as the **Family-Wise Error Rate (FWER)**—grows exponentially:
  $$\text{FWER} = 1 - (1 - \alpha)^k$$
* For example, if you test 20 independent hypotheses on the same dataset, the probability of finding at least one false positive purely by chance rises to approximately **64%**.
### 2. Data Dredging ($p$-Hacking) and Spurious Correlations
When exploring a vast number of variables, relationships, or sub-groupings without a prior theory, you inevitably uncover random noise that looks like a meaningful signal. This is known as *data dredging* or *p-hacking*. You risk identifying strong statistical correlations between variables that have no actual causal or logical relationship in the real world.
### 3. Overfitting to the Sample
Testing numerous hypotheses leads to models or conclusions that are overly tailored to the specific quirks, anomalies, and noise of the exploratory dataset. As a result, any findings, predictions, or business insights derived from this process will **fail to generalize** when applied to new, unseen data.
### 4. HARKing (Hypothesizing After Results are Known)
Uncontrolled exploratory testing often leads analysts to formulate hypotheses *after* observing a statistically significant result, presenting it as if it were a pre-planned test. This introduces **confirmation bias**, as analysts naturally invent logical-sounding narratives ("just-so stories") to explain what is actually just random noise.
### 5. Resource Misallocation
Acting on false positives has real-world costs. In a business or scientific context, relying on spurious findings can lead to wasted capital, flawed product features, ineffective marketing campaigns, or failed follow-up research.
---
### Best Practices to Mitigate These Risks
* **Data Splitting:** Divide the data into an **exploratory set** (used strictly to generate hypotheses) and a **holdout validation set** (used solely to test the shortlisted hypotheses once).
* **Statistical Corrections:** Apply techniques like the **Bonferroni correction** (to control FWER) or the **Benjamini-Hochberg procedure** (to control the False Discovery Rate) when multiple tests are necessary.
* **Maintain the Exploratory Mindset:** Treat all patterns found during EDA purely as *hypotheses to be tested later*, rather than confirmed statistical facts.</t>
  </si>
  <si>
    <t>The **mean, median, and mode** are measures of **central tendency**—they describe what is typical or central in a dataset.
- **Mean:** The arithmetic average. Add all values and divide by the number of values.  
  - Sensitive to extreme values (outliers).
  - Example: For 2, 3, 4, 11, mean = 5.
- **Median:** The middle value after sorting the data. If there are an even number of values, it is the average of the two middle values.  
  - Less affected by outliers than the mean.
  - For 2, 3, 4, 11, median = (3 + 4) / 2 = 3.5.
- **Mode:** The value that occurs most frequently.  
  - A dataset can have one mode, multiple modes, or no mode.
  - For 2, 3, 3, 4, 11, mode = 3.
**Key difference:** The mean uses every value, the median depends on the data’s ordered position, and the mode depends on frequency. The median is often preferred for skewed data, while the mean is useful for relatively symmetric data.</t>
  </si>
  <si>
    <t xml:space="preserve">Bezug zu Skalenniveaus fehlt, Insbesondere fehlt, dass der Modus auch für kategoriale/nominale Daten geeignet ist und der Median bei ordinalen Daten verwendet werden kann </t>
  </si>
  <si>
    <t>In data analysis, the **mean**, **median**, and **mode** are the three primary **measures of central tendency**. They each aim to describe the "center" or a typical value of a dataset, but they do so using different mathematical approaches.
---
### 1. What Each Measure Describes
*   **Mean (Arithmetic Average):**
    *   **What it is:** The sum of all values in a dataset divided by the total number of values.
    *   **What it describes:** The mathematical "balance point" of the data. It incorporates the exact value of every observation in the dataset.
    *   **Best used for:** Symmetric, normally distributed numerical data without extreme values.
*   **Median (50th Percentile):**
    *   **What it is:** The middle value when a dataset is ordered from smallest to largest. If the dataset has an even number of observations, it is the average of the two middle numbers.
    *   **What it describes:** The positional center that splits the dataset into two equal halves—50% of the data falls below the median, and 50% falls above it.
    *   **Best used for:** Skewed numerical data or datasets containing outliers (e.g., income, house prices).
*   **Mode:**
    *   **What it is:** The value that appears most frequently in a dataset.
    *   **What it describes:** The most common or popular observation. A dataset can have one mode (unimodal), multiple modes (bimodal/multimodal), or no mode at all (if all values occur with equal frequency).
    *   **Best used for:** Categorical data (labels/groups) or identifying peaks in discrete numerical distributions.
---
### 2. Key Differences
| Feature | Mean | Median | Mode |
| :--- | :--- | :--- | :--- |
| **Calculation Method** | Sum of all values divided by count ($N$). | The middle position of ordered data. | The highest frequency of occurrence. |
| **Sensitivity to Outliers** | **High:** Extreme values heavily pull the mean toward them. | **Low (Robust):** Unaffected by extreme values at either end. | **None:** Focused solely on the most frequent value. |
| **Data Type Suitability** | Numerical data only (Interval/Ratio scales). | Numerical and Ordinal data (ranked categorical data). | All data types, including Nominal (non-ranked categorical data). |
| **Uniqueness** | Always yields exactly one unique value. | Always yields exactly one unique value. | Can yield zero, one, or multiple values. |
---
### 3. How Distribution Skewness Affects the Differences
The relationship between the mean, median, and mode changes based on the shape of the data distribution:
*   **Symmetric (Normal) Distribution:** The mean, median, and mode are equal ($\text{Mean} = \text{Median} = \text{Mode}$).
*   **Right-Skewed (Positive Skew):** Long tail to the right. Extreme high values pull the mean up ($\text{Mode} &lt; \text{Median} &lt; \text{Mean}$). *Example: Income distribution.*
*   **Left-Skewed (Negative Skew):** Long tail to the left. Extreme low values pull the mean down ($\text{Mean} &lt; \text{Median} &lt; \text{Mode}$). *Example: Age at death in developed countries.*</t>
  </si>
  <si>
    <t>E0_05</t>
  </si>
  <si>
    <t>Median statt Mittelwert</t>
  </si>
  <si>
    <t>A085</t>
  </si>
  <si>
    <t>In exploratory data analysis, the **median** is preferable to the **mean** under specific conditions related to the shape of the data distribution, the presence of extreme values, and the measurement scale of the data.
Here is a breakdown of **when** the median is preferred and **why**:
---
### 1. When the Data Contains Outliers (Extreme Values)
* **When:** When a dataset contains extreme high or low values that deviate significantly from the rest of the observations.
* **Why:** The mean is mathematically sensitive to every single value in the dataset because it sums all values and divides by $N$. A single extreme outlier can drastically pull the mean away from the center of the data. The median, being a positional measure (the 50th percentile), is **robust to outliers**—it only cares about the order of the values, not their magnitude.
---
### 2. When the Distribution is Skewed (Non-Normal)
* **When:** In asymmetric distributions, such as right-skewed (positively skewed) or left-skewed (negatively skewed) data.
* **Why:** 
  * In a **right-skewed distribution** (e.g., household income, home prices), a small number of very high values pulls the mean to the right, making it higher than what most people experience.
  * In a **left-skewed distribution** (e.g., age at death in developed countries), a small number of low values pulls the mean to the left.
  * The median remains at the exact midpoint of the dataset, accurately representing the "typical" or middle observation regardless of skewness.
---
### 3. When Working with Ordinal Data
* **When:** When the data is measured on an ordinal scale (e.g., Likert scales like *1 = Strongly Disagree* to *5 = Strongly Agree*, or customer satisfaction ranks).
* **Why:** Ordinal data has a clear order, but the distance between consecutive categories is not guaranteed to be equal. Because calculating the mean requires addition and division (operations that assume equal intervals between numbers), taking the mean of ordinal data is statistically invalid. The median only requires ranking, making it mathematically appropriate for ordinal variables.
---
### 4. When Data Has Open-Ended or Truncated Ranges
* **When:** When data includes categories like lower/upper bounds (e.g., age groups where the top category is "85 and older," or income capped at "$250,000+").
* **Why:** You cannot calculate an exact sum of all values to compute a mean because the exact values in the open-ended category are unknown. However, as long as the open-ended category contains less than 50% of the observations, the median can still be precisely determined.
---
### Summary Example
Consider home prices in a neighborhood: $200k, $220k, $230k, $250k, and $5,000,000 (a mansion).
* **Mean:** $1,180,000 (misleading; suggests the average home is a mansion).
* **Median:** $2</t>
  </si>
  <si>
    <t>A086</t>
  </si>
  <si>
    <t>### Prefer a boxplot when:
- You need a **compact summary** of a numeric variable: median, quartiles, spread, and potential outliers.
- You want to **compare distributions across many groups** efficiently.
- The dataset is large or space is limited.
- The exact distributional shape is less important than relative location and variability.
**Limitation:** A boxplot can hide important features such as multimodality, gaps, clusters, or unusual distribution shapes.
### Prefer a histogram when:
- You want to examine the **full shape of one or a few distributions**.
- You need to see **skewness, modality, gaps, clusters, or tails**.
- Understanding the distribution itself is important, such as assessing approximate normality.
- You have enough observations for meaningful bin counts.
**Limitation:** Histograms depend strongly on the chosen bin width and can be difficult to compare across many groups.
In practice, use a **boxplot for concise group comparisons** and a **histogram for detailed distributional exploration**. Often, using both—or alternatives such as violin plots or ECDFs—gives a more complete picture.</t>
  </si>
  <si>
    <t>A087</t>
  </si>
  <si>
    <t>Both boxplots and histograms visualize the distribution of continuous data, but they emphasize different aspects of the dataset.
---
### When a Boxplot is Preferable
A **boxplot** (box-and-whisker plot) summarizes a distribution using a 5-number summary (Minimum, $Q_1$, Median, $Q_3$, Maximum) and highlights statistical outliers. 
Use a boxplot when:
1. **Comparing distributions across many categories:**
   * *Why:* Boxplots are visually compact. You can easily stack 10 to 20 boxplots side-by-side along an axis to compare medians, spreads, and variances across groups (e.g., comparing income distributions across 15 different cities).
2. **Identifying outliers explicitly:**
   * *Why:* Boxplots use a standardized mathematical rule (typically $1.5 \times \text{IQR}$) to isolate and plot individual extreme values as distinct points.
3. **Focusing on non-parametric summary statistics:**
   * *Why:* When data is skewed, the median and Interquartile Range (IQR) are better measures of central tendency and spread than the mean and standard deviation. The boxplot directly displays these values.
4. **Working with limited screen or page space:**
   * *Why:* A boxplot takes up significantly less visual space than a histogram while still conveying key summary metrics.
---
### When a Histogram is Preferable
A **histogram** displays the underlying frequency density of continuous data by dividing it into discrete intervals (bins).
Use a histogram when:
1. **Detecting the precise shape and modality of a distribution:**
   * *Why:* Boxplots hide modality. A bimodal distribution (two peaks) and a uniform distribution can produce **identical** boxplots. A histogram reveals whether data is unimodal, bimodal, multimodal, or has distinct gaps/clusters.
2. **Analyzing a single variable in depth:**
   * *Why:* When studying a single continuous feature (e.g., customer transaction amounts), a histogram shows the exact density, skewness, and concentration of values without aggregating them into summarized quartiles.
3. **Exploring small to medium datasets:**
   * *Why:* Quartiles in a boxplot can be misleading or unstable with small sample sizes ($N &lt; 20$). A histogram shows every bin's actual count, giving a clearer picture of sample size density.
4. **Communicating to non-technical stakeholders:**
   * *Why:* Histograms are intuitively understood as "counts per range." Boxplots require understanding quartiles, medians, and IQR logic, which can confuse non-technical audiences.
---
### Summary Comparison Table
| Scenario | Prefer Boxplot | Prefer Histogram |
| :--- | :--- | :--- |
| **Comparing 5+ Groups** | **Yes** | No (too cluttered) |
| **Identifying Modality (Peaks)** | No (hides peaks) | **Yes** |
| **Spotting Outliers**</t>
  </si>
  <si>
    <t>Exploratory Data Analysis (EDA) is a critical phase in the data analysis pipeline used to understand a dataset's underlying structure, spot anomalies, test hypotheses, and check assumptions. 
While EDA is an **iterative process** where insights often require stepping backward to re-clean or re-examine data, it typically follows a standard sequence:
---
### **1. Problem Definition &amp; Data Collection**
* **Objective:** Define the business or research question and load the dataset.
* **Actions:** 
  * Import necessary libraries (e.g., Pandas, NumPy, Matplotlib, Seaborn in Python; tidyverse in R).
  * Load data from sources (CSV, SQL databases, APIs).
  * Identify target variables (dependent) and predictor variables (independent).
### **2. Data Profiling &amp; Structural Inspection**
* **Objective:** Gain a high-level understanding of the dataset's shape and formats.
* **Actions:**
  * **Check Dimensions:** Determine the number of rows (observations) and columns (features).
  * **Inspect Data Types:** Identify numerical (discrete vs. continuous), categorical (nominal vs. ordinal), and datetime variables.
  * **First Look:** View the first/last few rows (`head()`/`tail()`) to confirm correct data parsing.
### **3. Data Cleaning (Initial Preprocessing)**
* **Objective:** Address obvious data quality issues before deeper analysis.
* **Actions:**
  * **Missing Values:** Identify missing data counts/percentages and decide whether to drop, impute, or retain them.
  * **Duplicates:** Check for and remove duplicate records.
  * **Type Conversion:** Fix incorrect data types (e.g., converting a string representation of a date into a `datetime` object).
  * **Standardization:** Fix inconsistent formatting (e.g., "NY" vs. "New York", capitalization, stripping whitespace).
### **4. Univariate Analysis**
* **Objective:** Analyze each variable independently to understand its distribution, central tendency, and spread.
* **Actions:**
  * **Numerical Variables:** Calculate summary statistics (mean, median, mode, variance, standard deviation, IQR). Visualize using **histograms**, **density plots (KDE)**, and **box plots** to check for skewness and normality.
  * **Categorical Variables:** Calculate frequency counts and proportions. Visualize using **bar charts** or **pie charts**.
### **5. Bivariate Analysis**
* **Objective:** Examine the relationship between pairs of variables.
* **Actions:**
  * **Continuous vs. Continuous:** Use **scatter plots** and calculate correlation coefficients (Pearson, Spearman) to detect linear or non-linear relationships.
  * **Categorical vs. Continuous:** Use **grouped box plots**, **violin plots**, or **bar plots** (comparing means/medians across categories) to evaluate differences.
  * **</t>
  </si>
  <si>
    <t>multvariate Analyse, AUsreißererkennung und Feature Engineering fehlt</t>
  </si>
  <si>
    <t>- **Mean:** The arithmetic average, calculated by adding all values and dividing by the number of values. It uses every observation and can be strongly affected by extreme values or outliers.
- **Median:** The middle value when the data are ordered. If there is an even number of observations, it is the average of the two middle values. It is less affected by outliers and often better represents the center of skewed data.
- **Mode:** The most frequently occurring value or category. A dataset can have one mode, multiple modes, or no mode if no value repeats.
**Key difference:** The mean summarizes the numerical balance of all values, the median identifies the central position, and the mode identifies the most common value.</t>
  </si>
  <si>
    <t>Bezug Skalenniveau fehlt</t>
  </si>
  <si>
    <t>A090</t>
  </si>
  <si>
    <t>In exploratory data analysis (EDA) and data communication, visualization choices act as the lens through which data is perceived. Variations in design parameters do not change the underlying data, but they can fundamentally alter human perception, leading to different—and sometimes misinformed—interpretations.
Here is a breakdown of how key visualization choices influence data interpretation:
---
### 1. Axis Scaling and Range Selection
*   **Truncated Baselines (Non-Zero Y-Axis):**
    *   *Effect:* Starting a numeric axis above zero exaggerates relative differences between bars or points.
    *   *Impact:* A 2% increase in sales can be visually manipulated to look like a 200% surge in a bar chart. For bar charts, where length encodes value, baselines must start at zero. For line charts focused on variance rather than absolute magnitude, truncated axes are acceptable, provided the scale is explicitly labeled.
*   **Linear vs. Logarithmic Scales:**
    *   *Effect:* Linear scales emphasize absolute change, whereas logarithmic scales emphasize relative percentage change.
    *   *Impact:* Exponential growth (e.g., disease spread, compound interest) appears as an accelerating curve on a linear scale, which can cause panic or highlight extreme trajectory. On a logarithmic scale, the same data appears as a straight line, making it easier to evaluate constant growth rates but potentially underrepresenting the physical magnitude to untrained viewers.
*   **Dual Y-Axes:**
    *   *Effect:* Overlaying two variables with different scales on independent axes allows the analyst to arbitrarily adjust the scale bounds of either axis.
    *   *Impact:* By stretching or compressing one axis, an analyst can visually create or obscure correlations between two unrelated time series, leading viewers to infer false causality.
*   **Aspect Ratio (Slope Perception):**
    *   *Effect:* Changing the height-to-width ratio of a plot changes the physical angle of line slopes.
    *   *Impact:* A tall, narrow chart visually steepens trend lines, conveying rapid change or instability. A short, wide chart flattens slopes, conveying stability or insignificance.
---
### 2. Bin Width and Interval Selection (Histograms &amp; Heatmaps)
*   **Bin Width in Histograms:**
    *   *Over-smoothing (Bins too wide):* Aggregates data too heavily, hiding critical features such as bimodality, skewness, or subtle sub-clusters.
    *   *Under-smoothing (Bins too narrow):* Introduces sampling noise, causing a continuous distribution to appear jagged and making it difficult to discern the true underlying distribution.
*   **Bin Boundary Placement:**
    *   *Effect:* Even with a fixed bin width, shifting the starting edge of the bins (e.g., binning by `[0</t>
  </si>
  <si>
    <t>E0_06</t>
  </si>
  <si>
    <t>Boxplot vs. Histogramm</t>
  </si>
  <si>
    <t>E0_07</t>
  </si>
  <si>
    <t>Kennzahlen kategorial vs. metrisch</t>
  </si>
  <si>
    <t>E0_08</t>
  </si>
  <si>
    <t>Transformation erkennen</t>
  </si>
  <si>
    <t>E0_09</t>
  </si>
  <si>
    <t>Was Korrelation nicht aussagt</t>
  </si>
  <si>
    <t>E0_10</t>
  </si>
  <si>
    <t>Ausreißer entfernen problematisch</t>
  </si>
  <si>
    <t>E0_11</t>
  </si>
  <si>
    <t>Korrelation nahe null</t>
  </si>
  <si>
    <t>E0_12</t>
  </si>
  <si>
    <t>Zu viele Hypothesen an denselben Daten</t>
  </si>
  <si>
    <t>E0_13</t>
  </si>
  <si>
    <t>EDA nicht rein automatisierbar</t>
  </si>
  <si>
    <t>E0_14</t>
  </si>
  <si>
    <t>Visualisierungsauswahl beeinflusst Interpretation</t>
  </si>
  <si>
    <t>E0_15</t>
  </si>
  <si>
    <t>Schiefe (Skewness)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</si>
</sst>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scheme val="minor"/>
    </font>
    <font>
      <b/>
      <sz val="12"/>
      <color theme="1"/>
      <name val="Arial"/>
    </font>
    <font>
      <b/>
      <sz val="11"/>
      <color rgb="FFFFFFFF"/>
      <name val="Arial"/>
    </font>
    <font>
      <b/>
      <sz val="11"/>
      <color theme="1"/>
      <name val="Arial"/>
    </font>
    <font>
      <sz val="11"/>
      <color theme="1"/>
      <name val="Calibri"/>
    </font>
    <font>
      <sz val="10"/>
      <color theme="1"/>
      <name val="Arial"/>
    </font>
    <font>
      <sz val="11"/>
      <color theme="1"/>
      <name val="Calibri"/>
      <scheme val="minor"/>
    </font>
  </fonts>
  <fills count="5">
    <fill>
      <patternFill patternType="none"/>
    </fill>
    <fill>
      <patternFill patternType="gray125"/>
    </fill>
    <fill>
      <patternFill patternType="solid">
        <fgColor rgb="FF2F5496"/>
        <bgColor rgb="FF2F5496"/>
      </patternFill>
    </fill>
    <fill>
      <patternFill patternType="solid">
        <fgColor rgb="FFFFF2CC"/>
        <bgColor rgb="FFFFF2CC"/>
      </patternFill>
    </fill>
    <fill>
      <patternFill patternType="solid">
        <fgColor rgb="FFFFFF00"/>
        <bgColor rgb="FFFFFF00"/>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0" xfId="0" applyFont="1"/>
    <xf numFmtId="0" fontId="2" fillId="2" borderId="2" xfId="0" applyFont="1" applyFill="1" applyBorder="1" applyAlignment="1">
      <alignment horizontal="center" vertical="center"/>
    </xf>
    <xf numFmtId="0" fontId="4" fillId="0" borderId="1" xfId="0" applyFont="1" applyBorder="1" applyAlignment="1">
      <alignment horizontal="center" vertical="center"/>
    </xf>
    <xf numFmtId="0" fontId="5" fillId="0" borderId="0" xfId="0" applyFont="1"/>
    <xf numFmtId="0" fontId="5" fillId="0" borderId="1" xfId="0" applyFont="1" applyBorder="1" applyAlignment="1">
      <alignment horizontal="center" vertical="center"/>
    </xf>
    <xf numFmtId="0" fontId="5" fillId="0" borderId="1" xfId="0" applyFont="1" applyBorder="1" applyAlignment="1">
      <alignment vertical="top" wrapText="1"/>
    </xf>
    <xf numFmtId="0" fontId="5" fillId="3" borderId="1" xfId="0" applyFont="1" applyFill="1" applyBorder="1" applyAlignment="1">
      <alignment horizontal="center" vertical="center"/>
    </xf>
    <xf numFmtId="2" fontId="4" fillId="0" borderId="0" xfId="0" applyNumberFormat="1" applyFont="1" applyAlignment="1">
      <alignment horizontal="center" vertical="center"/>
    </xf>
    <xf numFmtId="0" fontId="3" fillId="0" borderId="0" xfId="0" applyFont="1" applyAlignment="1">
      <alignment horizontal="center" vertical="center"/>
    </xf>
    <xf numFmtId="0" fontId="6" fillId="0" borderId="0" xfId="0" applyFont="1" applyAlignment="1">
      <alignment horizontal="left" vertical="center"/>
    </xf>
    <xf numFmtId="0" fontId="5" fillId="4" borderId="1" xfId="0" applyFont="1" applyFill="1" applyBorder="1" applyAlignment="1">
      <alignment horizontal="center" vertical="center"/>
    </xf>
    <xf numFmtId="0" fontId="5" fillId="4" borderId="1" xfId="0" applyFont="1" applyFill="1" applyBorder="1" applyAlignment="1">
      <alignment vertical="center"/>
    </xf>
    <xf numFmtId="0" fontId="5" fillId="4" borderId="1" xfId="0" applyFont="1" applyFill="1" applyBorder="1" applyAlignment="1">
      <alignment vertical="top" wrapText="1"/>
    </xf>
    <xf numFmtId="0" fontId="6" fillId="4" borderId="0" xfId="0" applyFont="1" applyFill="1" applyAlignment="1">
      <alignment vertical="center"/>
    </xf>
    <xf numFmtId="0" fontId="5" fillId="0" borderId="1" xfId="0" applyFont="1" applyBorder="1" applyAlignment="1">
      <alignment vertical="center"/>
    </xf>
    <xf numFmtId="0" fontId="6" fillId="0" borderId="0" xfId="0" applyFont="1" applyAlignment="1">
      <alignment vertical="center"/>
    </xf>
  </cellXfs>
  <cellStyles count="1">
    <cellStyle name="Standard"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chluessel-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F91">
  <tableColumns count="6">
    <tableColumn id="1" xr3:uid="{00000000-0010-0000-0000-000001000000}" name="Anon-ID"/>
    <tableColumn id="2" xr3:uid="{00000000-0010-0000-0000-000002000000}" name="question_id"/>
    <tableColumn id="3" xr3:uid="{00000000-0010-0000-0000-000003000000}" name="Thema"/>
    <tableColumn id="4" xr3:uid="{00000000-0010-0000-0000-000004000000}" name="Modell"/>
    <tableColumn id="5" xr3:uid="{00000000-0010-0000-0000-000005000000}" name="Iteration"/>
    <tableColumn id="6" xr3:uid="{00000000-0010-0000-0000-000006000000}" name="Punktzahl"/>
  </tableColumns>
  <tableStyleInfo name="Schluesse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zoomScale="55" zoomScaleNormal="55" workbookViewId="0">
      <pane ySplit="1" topLeftCell="A54" activePane="bottomLeft" state="frozen"/>
      <selection pane="bottomLeft" activeCell="B3" sqref="B3"/>
    </sheetView>
  </sheetViews>
  <sheetFormatPr baseColWidth="10" defaultColWidth="14.42578125" defaultRowHeight="15" customHeight="1" x14ac:dyDescent="0.25"/>
  <cols>
    <col min="1" max="1" width="46.28515625" customWidth="1"/>
    <col min="2" max="2" width="10" customWidth="1"/>
    <col min="3" max="3" width="42" customWidth="1"/>
    <col min="4" max="4" width="70" customWidth="1"/>
    <col min="5" max="5" width="55" customWidth="1"/>
    <col min="6" max="6" width="12" customWidth="1"/>
    <col min="7" max="7" width="26" customWidth="1"/>
    <col min="8" max="26" width="8.7109375" customWidth="1"/>
  </cols>
  <sheetData>
    <row r="1" spans="1:7" ht="30" customHeight="1" x14ac:dyDescent="0.25">
      <c r="A1" s="2" t="s">
        <v>1</v>
      </c>
      <c r="B1" s="2" t="s">
        <v>3</v>
      </c>
      <c r="C1" s="2" t="s">
        <v>4</v>
      </c>
      <c r="D1" s="2" t="s">
        <v>6</v>
      </c>
      <c r="E1" s="2" t="s">
        <v>7</v>
      </c>
      <c r="F1" s="2" t="s">
        <v>8</v>
      </c>
      <c r="G1" s="2" t="s">
        <v>9</v>
      </c>
    </row>
    <row r="2" spans="1:7" ht="409.5" x14ac:dyDescent="0.25">
      <c r="A2" s="5" t="s">
        <v>11</v>
      </c>
      <c r="B2" s="7">
        <v>2</v>
      </c>
      <c r="C2" s="8" t="s">
        <v>13</v>
      </c>
      <c r="D2" s="8" t="s">
        <v>14</v>
      </c>
      <c r="E2" s="8" t="s">
        <v>15</v>
      </c>
      <c r="F2" s="9">
        <v>3</v>
      </c>
      <c r="G2" s="8"/>
    </row>
    <row r="3" spans="1:7" ht="409.5" x14ac:dyDescent="0.25">
      <c r="A3" s="5" t="s">
        <v>16</v>
      </c>
      <c r="B3" s="7">
        <v>2</v>
      </c>
      <c r="C3" s="8" t="s">
        <v>17</v>
      </c>
      <c r="D3" s="8" t="s">
        <v>18</v>
      </c>
      <c r="E3" s="8" t="s">
        <v>19</v>
      </c>
      <c r="F3" s="9">
        <v>3</v>
      </c>
      <c r="G3" s="8"/>
    </row>
    <row r="4" spans="1:7" ht="409.5" x14ac:dyDescent="0.25">
      <c r="A4" s="5" t="s">
        <v>21</v>
      </c>
      <c r="B4" s="7">
        <v>1</v>
      </c>
      <c r="C4" s="8" t="s">
        <v>22</v>
      </c>
      <c r="D4" s="8" t="s">
        <v>23</v>
      </c>
      <c r="E4" s="8" t="s">
        <v>24</v>
      </c>
      <c r="F4" s="9">
        <v>3</v>
      </c>
      <c r="G4" s="8"/>
    </row>
    <row r="5" spans="1:7" ht="409.5" x14ac:dyDescent="0.25">
      <c r="A5" s="5" t="s">
        <v>25</v>
      </c>
      <c r="B5" s="7">
        <v>2</v>
      </c>
      <c r="C5" s="8" t="s">
        <v>26</v>
      </c>
      <c r="D5" s="8" t="s">
        <v>27</v>
      </c>
      <c r="E5" s="8" t="s">
        <v>28</v>
      </c>
      <c r="F5" s="9">
        <v>3</v>
      </c>
      <c r="G5" s="8" t="s">
        <v>29</v>
      </c>
    </row>
    <row r="6" spans="1:7" ht="267.75" x14ac:dyDescent="0.25">
      <c r="A6" s="5" t="s">
        <v>30</v>
      </c>
      <c r="B6" s="7">
        <v>1</v>
      </c>
      <c r="C6" s="8" t="s">
        <v>31</v>
      </c>
      <c r="D6" s="8" t="s">
        <v>32</v>
      </c>
      <c r="E6" s="8" t="s">
        <v>33</v>
      </c>
      <c r="F6" s="9">
        <v>3</v>
      </c>
      <c r="G6" s="8"/>
    </row>
    <row r="7" spans="1:7" ht="255" x14ac:dyDescent="0.25">
      <c r="A7" s="5" t="s">
        <v>34</v>
      </c>
      <c r="B7" s="7">
        <v>1</v>
      </c>
      <c r="C7" s="8" t="s">
        <v>35</v>
      </c>
      <c r="D7" s="8" t="s">
        <v>36</v>
      </c>
      <c r="E7" s="8" t="s">
        <v>37</v>
      </c>
      <c r="F7" s="9">
        <v>3</v>
      </c>
      <c r="G7" s="8"/>
    </row>
    <row r="8" spans="1:7" ht="409.5" x14ac:dyDescent="0.25">
      <c r="A8" s="5" t="s">
        <v>38</v>
      </c>
      <c r="B8" s="7">
        <v>1</v>
      </c>
      <c r="C8" s="8" t="s">
        <v>39</v>
      </c>
      <c r="D8" s="8" t="s">
        <v>40</v>
      </c>
      <c r="E8" s="8" t="s">
        <v>41</v>
      </c>
      <c r="F8" s="9">
        <v>3</v>
      </c>
      <c r="G8" s="8"/>
    </row>
    <row r="9" spans="1:7" ht="204" x14ac:dyDescent="0.25">
      <c r="A9" s="5" t="s">
        <v>42</v>
      </c>
      <c r="B9" s="7">
        <v>3</v>
      </c>
      <c r="C9" s="8" t="s">
        <v>43</v>
      </c>
      <c r="D9" s="8" t="s">
        <v>44</v>
      </c>
      <c r="E9" s="8" t="s">
        <v>45</v>
      </c>
      <c r="F9" s="9">
        <v>3</v>
      </c>
      <c r="G9" s="8"/>
    </row>
    <row r="10" spans="1:7" ht="409.5" x14ac:dyDescent="0.25">
      <c r="A10" s="5" t="s">
        <v>47</v>
      </c>
      <c r="B10" s="7">
        <v>2</v>
      </c>
      <c r="C10" s="8" t="s">
        <v>48</v>
      </c>
      <c r="D10" s="8" t="s">
        <v>50</v>
      </c>
      <c r="E10" s="8" t="s">
        <v>51</v>
      </c>
      <c r="F10" s="9">
        <v>3</v>
      </c>
      <c r="G10" s="8"/>
    </row>
    <row r="11" spans="1:7" ht="409.5" x14ac:dyDescent="0.25">
      <c r="A11" s="5" t="s">
        <v>52</v>
      </c>
      <c r="B11" s="7">
        <v>3</v>
      </c>
      <c r="C11" s="8" t="s">
        <v>53</v>
      </c>
      <c r="D11" s="8" t="s">
        <v>54</v>
      </c>
      <c r="E11" s="8" t="s">
        <v>55</v>
      </c>
      <c r="F11" s="9">
        <v>3</v>
      </c>
      <c r="G11" s="8"/>
    </row>
    <row r="12" spans="1:7" ht="409.5" x14ac:dyDescent="0.25">
      <c r="A12" s="5" t="s">
        <v>57</v>
      </c>
      <c r="B12" s="7">
        <v>1</v>
      </c>
      <c r="C12" s="8" t="s">
        <v>22</v>
      </c>
      <c r="D12" s="8" t="s">
        <v>58</v>
      </c>
      <c r="E12" s="8" t="s">
        <v>24</v>
      </c>
      <c r="F12" s="9">
        <v>3</v>
      </c>
      <c r="G12" s="8"/>
    </row>
    <row r="13" spans="1:7" ht="409.5" x14ac:dyDescent="0.25">
      <c r="A13" s="5" t="s">
        <v>60</v>
      </c>
      <c r="B13" s="7">
        <v>3</v>
      </c>
      <c r="C13" s="8" t="s">
        <v>22</v>
      </c>
      <c r="D13" s="8" t="s">
        <v>62</v>
      </c>
      <c r="E13" s="8" t="s">
        <v>24</v>
      </c>
      <c r="F13" s="9">
        <v>3</v>
      </c>
      <c r="G13" s="8"/>
    </row>
    <row r="14" spans="1:7" ht="267.75" x14ac:dyDescent="0.25">
      <c r="A14" s="5" t="s">
        <v>64</v>
      </c>
      <c r="B14" s="7">
        <v>2</v>
      </c>
      <c r="C14" s="8" t="s">
        <v>35</v>
      </c>
      <c r="D14" s="8" t="s">
        <v>65</v>
      </c>
      <c r="E14" s="8" t="s">
        <v>37</v>
      </c>
      <c r="F14" s="9">
        <v>3</v>
      </c>
      <c r="G14" s="8"/>
    </row>
    <row r="15" spans="1:7" ht="216.75" x14ac:dyDescent="0.25">
      <c r="A15" s="5" t="s">
        <v>66</v>
      </c>
      <c r="B15" s="7">
        <v>2</v>
      </c>
      <c r="C15" s="8" t="s">
        <v>67</v>
      </c>
      <c r="D15" s="8" t="s">
        <v>68</v>
      </c>
      <c r="E15" s="8" t="s">
        <v>69</v>
      </c>
      <c r="F15" s="9">
        <v>3</v>
      </c>
      <c r="G15" s="8"/>
    </row>
    <row r="16" spans="1:7" ht="409.5" x14ac:dyDescent="0.25">
      <c r="A16" s="5" t="s">
        <v>70</v>
      </c>
      <c r="B16" s="7">
        <v>3</v>
      </c>
      <c r="C16" s="8" t="s">
        <v>13</v>
      </c>
      <c r="D16" s="8" t="s">
        <v>71</v>
      </c>
      <c r="E16" s="8" t="s">
        <v>15</v>
      </c>
      <c r="F16" s="9">
        <v>3</v>
      </c>
      <c r="G16" s="8" t="s">
        <v>72</v>
      </c>
    </row>
    <row r="17" spans="1:7" ht="191.25" x14ac:dyDescent="0.25">
      <c r="A17" s="5" t="s">
        <v>73</v>
      </c>
      <c r="B17" s="7">
        <v>2</v>
      </c>
      <c r="C17" s="8" t="s">
        <v>13</v>
      </c>
      <c r="D17" s="8" t="s">
        <v>74</v>
      </c>
      <c r="E17" s="8" t="s">
        <v>15</v>
      </c>
      <c r="F17" s="9">
        <v>3</v>
      </c>
      <c r="G17" s="8"/>
    </row>
    <row r="18" spans="1:7" ht="140.25" x14ac:dyDescent="0.25">
      <c r="A18" s="5" t="s">
        <v>75</v>
      </c>
      <c r="B18" s="7">
        <v>3</v>
      </c>
      <c r="C18" s="8" t="s">
        <v>76</v>
      </c>
      <c r="D18" s="8" t="s">
        <v>77</v>
      </c>
      <c r="E18" s="8" t="s">
        <v>78</v>
      </c>
      <c r="F18" s="9">
        <v>3</v>
      </c>
      <c r="G18" s="8"/>
    </row>
    <row r="19" spans="1:7" ht="409.5" x14ac:dyDescent="0.25">
      <c r="A19" s="5" t="s">
        <v>79</v>
      </c>
      <c r="B19" s="7">
        <v>2</v>
      </c>
      <c r="C19" s="8" t="s">
        <v>35</v>
      </c>
      <c r="D19" s="8" t="s">
        <v>80</v>
      </c>
      <c r="E19" s="8" t="s">
        <v>37</v>
      </c>
      <c r="F19" s="9">
        <v>3</v>
      </c>
      <c r="G19" s="8"/>
    </row>
    <row r="20" spans="1:7" ht="409.5" x14ac:dyDescent="0.25">
      <c r="A20" s="5" t="s">
        <v>81</v>
      </c>
      <c r="B20" s="7">
        <v>1</v>
      </c>
      <c r="C20" s="8" t="s">
        <v>83</v>
      </c>
      <c r="D20" s="8" t="s">
        <v>84</v>
      </c>
      <c r="E20" s="8" t="s">
        <v>85</v>
      </c>
      <c r="F20" s="9">
        <v>3</v>
      </c>
      <c r="G20" s="8"/>
    </row>
    <row r="21" spans="1:7" ht="15.75" customHeight="1" x14ac:dyDescent="0.25">
      <c r="A21" s="5" t="s">
        <v>86</v>
      </c>
      <c r="B21" s="7">
        <v>3</v>
      </c>
      <c r="C21" s="8" t="s">
        <v>13</v>
      </c>
      <c r="D21" s="8" t="s">
        <v>87</v>
      </c>
      <c r="E21" s="8" t="s">
        <v>15</v>
      </c>
      <c r="F21" s="9">
        <v>3</v>
      </c>
      <c r="G21" s="8"/>
    </row>
    <row r="22" spans="1:7" ht="15.75" customHeight="1" x14ac:dyDescent="0.25">
      <c r="A22" s="5" t="s">
        <v>88</v>
      </c>
      <c r="B22" s="7">
        <v>2</v>
      </c>
      <c r="C22" s="8" t="s">
        <v>83</v>
      </c>
      <c r="D22" s="8" t="s">
        <v>89</v>
      </c>
      <c r="E22" s="8" t="s">
        <v>85</v>
      </c>
      <c r="F22" s="9">
        <v>3</v>
      </c>
      <c r="G22" s="8"/>
    </row>
    <row r="23" spans="1:7" ht="15.75" customHeight="1" x14ac:dyDescent="0.25">
      <c r="A23" s="5" t="s">
        <v>90</v>
      </c>
      <c r="B23" s="7">
        <v>2</v>
      </c>
      <c r="C23" s="8" t="s">
        <v>91</v>
      </c>
      <c r="D23" s="8" t="s">
        <v>92</v>
      </c>
      <c r="E23" s="8" t="s">
        <v>93</v>
      </c>
      <c r="F23" s="9">
        <v>3</v>
      </c>
      <c r="G23" s="8"/>
    </row>
    <row r="24" spans="1:7" ht="15.75" customHeight="1" x14ac:dyDescent="0.25">
      <c r="A24" s="5" t="s">
        <v>94</v>
      </c>
      <c r="B24" s="7">
        <v>2</v>
      </c>
      <c r="C24" s="8" t="s">
        <v>95</v>
      </c>
      <c r="D24" s="8" t="s">
        <v>96</v>
      </c>
      <c r="E24" s="8" t="s">
        <v>98</v>
      </c>
      <c r="F24" s="9">
        <v>3</v>
      </c>
      <c r="G24" s="8"/>
    </row>
    <row r="25" spans="1:7" ht="15.75" customHeight="1" x14ac:dyDescent="0.25">
      <c r="A25" s="5" t="s">
        <v>99</v>
      </c>
      <c r="B25" s="7">
        <v>1</v>
      </c>
      <c r="C25" s="8" t="s">
        <v>76</v>
      </c>
      <c r="D25" s="8" t="s">
        <v>100</v>
      </c>
      <c r="E25" s="8" t="s">
        <v>78</v>
      </c>
      <c r="F25" s="9">
        <v>3</v>
      </c>
      <c r="G25" s="8"/>
    </row>
    <row r="26" spans="1:7" ht="15.75" customHeight="1" x14ac:dyDescent="0.25">
      <c r="A26" s="5" t="s">
        <v>101</v>
      </c>
      <c r="B26" s="7">
        <v>1</v>
      </c>
      <c r="C26" s="8" t="s">
        <v>53</v>
      </c>
      <c r="D26" s="8" t="s">
        <v>102</v>
      </c>
      <c r="E26" s="8" t="s">
        <v>55</v>
      </c>
      <c r="F26" s="9">
        <v>3</v>
      </c>
      <c r="G26" s="8"/>
    </row>
    <row r="27" spans="1:7" ht="15.75" customHeight="1" x14ac:dyDescent="0.25">
      <c r="A27" s="5" t="s">
        <v>103</v>
      </c>
      <c r="B27" s="7">
        <v>3</v>
      </c>
      <c r="C27" s="8" t="s">
        <v>17</v>
      </c>
      <c r="D27" s="8" t="s">
        <v>104</v>
      </c>
      <c r="E27" s="8" t="s">
        <v>19</v>
      </c>
      <c r="F27" s="9">
        <v>3</v>
      </c>
      <c r="G27" s="8"/>
    </row>
    <row r="28" spans="1:7" ht="15.75" customHeight="1" x14ac:dyDescent="0.25">
      <c r="A28" s="5" t="s">
        <v>105</v>
      </c>
      <c r="B28" s="7">
        <v>2</v>
      </c>
      <c r="C28" s="8" t="s">
        <v>48</v>
      </c>
      <c r="D28" s="8" t="s">
        <v>106</v>
      </c>
      <c r="E28" s="8" t="s">
        <v>51</v>
      </c>
      <c r="F28" s="9">
        <v>3</v>
      </c>
      <c r="G28" s="8"/>
    </row>
    <row r="29" spans="1:7" ht="15.75" customHeight="1" x14ac:dyDescent="0.25">
      <c r="A29" s="5" t="s">
        <v>107</v>
      </c>
      <c r="B29" s="7">
        <v>3</v>
      </c>
      <c r="C29" s="8" t="s">
        <v>35</v>
      </c>
      <c r="D29" s="8" t="s">
        <v>108</v>
      </c>
      <c r="E29" s="8" t="s">
        <v>37</v>
      </c>
      <c r="F29" s="9">
        <v>3</v>
      </c>
      <c r="G29" s="8"/>
    </row>
    <row r="30" spans="1:7" ht="15.75" customHeight="1" x14ac:dyDescent="0.25">
      <c r="A30" s="5" t="s">
        <v>109</v>
      </c>
      <c r="B30" s="7">
        <v>1</v>
      </c>
      <c r="C30" s="8" t="s">
        <v>53</v>
      </c>
      <c r="D30" s="8" t="s">
        <v>110</v>
      </c>
      <c r="E30" s="8" t="s">
        <v>55</v>
      </c>
      <c r="F30" s="9">
        <v>3</v>
      </c>
      <c r="G30" s="8"/>
    </row>
    <row r="31" spans="1:7" ht="15.75" customHeight="1" x14ac:dyDescent="0.25">
      <c r="A31" s="5" t="s">
        <v>111</v>
      </c>
      <c r="B31" s="7">
        <v>2</v>
      </c>
      <c r="C31" s="8" t="s">
        <v>22</v>
      </c>
      <c r="D31" s="8" t="s">
        <v>112</v>
      </c>
      <c r="E31" s="8" t="s">
        <v>24</v>
      </c>
      <c r="F31" s="9">
        <v>3</v>
      </c>
      <c r="G31" s="8"/>
    </row>
    <row r="32" spans="1:7" ht="15.75" customHeight="1" x14ac:dyDescent="0.25">
      <c r="A32" s="5" t="s">
        <v>114</v>
      </c>
      <c r="B32" s="7">
        <v>2</v>
      </c>
      <c r="C32" s="8" t="s">
        <v>76</v>
      </c>
      <c r="D32" s="8" t="s">
        <v>115</v>
      </c>
      <c r="E32" s="8" t="s">
        <v>78</v>
      </c>
      <c r="F32" s="9">
        <v>3</v>
      </c>
      <c r="G32" s="8"/>
    </row>
    <row r="33" spans="1:7" ht="15.75" customHeight="1" x14ac:dyDescent="0.25">
      <c r="A33" s="5" t="s">
        <v>116</v>
      </c>
      <c r="B33" s="7">
        <v>3</v>
      </c>
      <c r="C33" s="8" t="s">
        <v>48</v>
      </c>
      <c r="D33" s="8" t="s">
        <v>117</v>
      </c>
      <c r="E33" s="8" t="s">
        <v>51</v>
      </c>
      <c r="F33" s="9">
        <v>3</v>
      </c>
      <c r="G33" s="8"/>
    </row>
    <row r="34" spans="1:7" ht="15.75" customHeight="1" x14ac:dyDescent="0.25">
      <c r="A34" s="5" t="s">
        <v>118</v>
      </c>
      <c r="B34" s="7">
        <v>1</v>
      </c>
      <c r="C34" s="8" t="s">
        <v>48</v>
      </c>
      <c r="D34" s="8" t="s">
        <v>120</v>
      </c>
      <c r="E34" s="8" t="s">
        <v>51</v>
      </c>
      <c r="F34" s="9">
        <v>3</v>
      </c>
      <c r="G34" s="8"/>
    </row>
    <row r="35" spans="1:7" ht="15.75" customHeight="1" x14ac:dyDescent="0.25">
      <c r="A35" s="5" t="s">
        <v>121</v>
      </c>
      <c r="B35" s="7">
        <v>2</v>
      </c>
      <c r="C35" s="8" t="s">
        <v>91</v>
      </c>
      <c r="D35" s="8" t="s">
        <v>122</v>
      </c>
      <c r="E35" s="8" t="s">
        <v>93</v>
      </c>
      <c r="F35" s="9">
        <v>3</v>
      </c>
      <c r="G35" s="8"/>
    </row>
    <row r="36" spans="1:7" ht="15.75" customHeight="1" x14ac:dyDescent="0.25">
      <c r="A36" s="5" t="s">
        <v>123</v>
      </c>
      <c r="B36" s="7">
        <v>2</v>
      </c>
      <c r="C36" s="8" t="s">
        <v>22</v>
      </c>
      <c r="D36" s="8" t="s">
        <v>124</v>
      </c>
      <c r="E36" s="8" t="s">
        <v>24</v>
      </c>
      <c r="F36" s="9">
        <v>3</v>
      </c>
      <c r="G36" s="8" t="s">
        <v>125</v>
      </c>
    </row>
    <row r="37" spans="1:7" ht="15.75" customHeight="1" x14ac:dyDescent="0.25">
      <c r="A37" s="5" t="s">
        <v>126</v>
      </c>
      <c r="B37" s="7">
        <v>3</v>
      </c>
      <c r="C37" s="8" t="s">
        <v>31</v>
      </c>
      <c r="D37" s="8" t="s">
        <v>128</v>
      </c>
      <c r="E37" s="8" t="s">
        <v>33</v>
      </c>
      <c r="F37" s="9">
        <v>3</v>
      </c>
      <c r="G37" s="8"/>
    </row>
    <row r="38" spans="1:7" ht="15.75" customHeight="1" x14ac:dyDescent="0.25">
      <c r="A38" s="5" t="s">
        <v>130</v>
      </c>
      <c r="B38" s="7">
        <v>1</v>
      </c>
      <c r="C38" s="8" t="s">
        <v>39</v>
      </c>
      <c r="D38" s="8" t="s">
        <v>131</v>
      </c>
      <c r="E38" s="8" t="s">
        <v>41</v>
      </c>
      <c r="F38" s="9">
        <v>2</v>
      </c>
      <c r="G38" s="8" t="s">
        <v>132</v>
      </c>
    </row>
    <row r="39" spans="1:7" ht="15.75" customHeight="1" x14ac:dyDescent="0.25">
      <c r="A39" s="5" t="s">
        <v>133</v>
      </c>
      <c r="B39" s="7">
        <v>1</v>
      </c>
      <c r="C39" s="8" t="s">
        <v>48</v>
      </c>
      <c r="D39" s="8" t="s">
        <v>134</v>
      </c>
      <c r="E39" s="8" t="s">
        <v>51</v>
      </c>
      <c r="F39" s="9">
        <v>3</v>
      </c>
      <c r="G39" s="8"/>
    </row>
    <row r="40" spans="1:7" ht="15.75" customHeight="1" x14ac:dyDescent="0.25">
      <c r="A40" s="5" t="s">
        <v>135</v>
      </c>
      <c r="B40" s="7">
        <v>3</v>
      </c>
      <c r="C40" s="8" t="s">
        <v>67</v>
      </c>
      <c r="D40" s="8" t="s">
        <v>137</v>
      </c>
      <c r="E40" s="8" t="s">
        <v>69</v>
      </c>
      <c r="F40" s="9">
        <v>3</v>
      </c>
      <c r="G40" s="8"/>
    </row>
    <row r="41" spans="1:7" ht="15.75" customHeight="1" x14ac:dyDescent="0.25">
      <c r="A41" s="5" t="s">
        <v>138</v>
      </c>
      <c r="B41" s="7">
        <v>1</v>
      </c>
      <c r="C41" s="8" t="s">
        <v>67</v>
      </c>
      <c r="D41" s="8" t="s">
        <v>139</v>
      </c>
      <c r="E41" s="8" t="s">
        <v>69</v>
      </c>
      <c r="F41" s="9">
        <v>3</v>
      </c>
      <c r="G41" s="8"/>
    </row>
    <row r="42" spans="1:7" ht="15.75" customHeight="1" x14ac:dyDescent="0.25">
      <c r="A42" s="5" t="s">
        <v>140</v>
      </c>
      <c r="B42" s="7">
        <v>3</v>
      </c>
      <c r="C42" s="8" t="s">
        <v>76</v>
      </c>
      <c r="D42" s="8" t="s">
        <v>141</v>
      </c>
      <c r="E42" s="8" t="s">
        <v>78</v>
      </c>
      <c r="F42" s="9">
        <v>3</v>
      </c>
      <c r="G42" s="8"/>
    </row>
    <row r="43" spans="1:7" ht="15.75" customHeight="1" x14ac:dyDescent="0.25">
      <c r="A43" s="5" t="s">
        <v>143</v>
      </c>
      <c r="B43" s="7">
        <v>3</v>
      </c>
      <c r="C43" s="8" t="s">
        <v>35</v>
      </c>
      <c r="D43" s="8" t="s">
        <v>144</v>
      </c>
      <c r="E43" s="8" t="s">
        <v>37</v>
      </c>
      <c r="F43" s="9">
        <v>3</v>
      </c>
      <c r="G43" s="8"/>
    </row>
    <row r="44" spans="1:7" ht="15.75" customHeight="1" x14ac:dyDescent="0.25">
      <c r="A44" s="5" t="s">
        <v>145</v>
      </c>
      <c r="B44" s="7">
        <v>2</v>
      </c>
      <c r="C44" s="8" t="s">
        <v>83</v>
      </c>
      <c r="D44" s="8" t="s">
        <v>146</v>
      </c>
      <c r="E44" s="8" t="s">
        <v>85</v>
      </c>
      <c r="F44" s="9">
        <v>3</v>
      </c>
      <c r="G44" s="8"/>
    </row>
    <row r="45" spans="1:7" ht="15.75" customHeight="1" x14ac:dyDescent="0.25">
      <c r="A45" s="5" t="s">
        <v>147</v>
      </c>
      <c r="B45" s="7">
        <v>2</v>
      </c>
      <c r="C45" s="8" t="s">
        <v>17</v>
      </c>
      <c r="D45" s="8" t="s">
        <v>148</v>
      </c>
      <c r="E45" s="8" t="s">
        <v>19</v>
      </c>
      <c r="F45" s="9">
        <v>3</v>
      </c>
      <c r="G45" s="8"/>
    </row>
    <row r="46" spans="1:7" ht="15.75" customHeight="1" x14ac:dyDescent="0.25">
      <c r="A46" s="5" t="s">
        <v>149</v>
      </c>
      <c r="B46" s="7">
        <v>2</v>
      </c>
      <c r="C46" s="8" t="s">
        <v>53</v>
      </c>
      <c r="D46" s="8" t="s">
        <v>150</v>
      </c>
      <c r="E46" s="8" t="s">
        <v>55</v>
      </c>
      <c r="F46" s="9">
        <v>3</v>
      </c>
      <c r="G46" s="8"/>
    </row>
    <row r="47" spans="1:7" ht="15.75" customHeight="1" x14ac:dyDescent="0.25">
      <c r="A47" s="5" t="s">
        <v>151</v>
      </c>
      <c r="B47" s="7">
        <v>2</v>
      </c>
      <c r="C47" s="8" t="s">
        <v>31</v>
      </c>
      <c r="D47" s="8" t="s">
        <v>152</v>
      </c>
      <c r="E47" s="8" t="s">
        <v>33</v>
      </c>
      <c r="F47" s="9">
        <v>3</v>
      </c>
      <c r="G47" s="8"/>
    </row>
    <row r="48" spans="1:7" ht="15.75" customHeight="1" x14ac:dyDescent="0.25">
      <c r="A48" s="5" t="s">
        <v>113</v>
      </c>
      <c r="B48" s="7">
        <v>3</v>
      </c>
      <c r="C48" s="8" t="s">
        <v>26</v>
      </c>
      <c r="D48" s="8" t="s">
        <v>153</v>
      </c>
      <c r="E48" s="8" t="s">
        <v>28</v>
      </c>
      <c r="F48" s="9">
        <v>3</v>
      </c>
      <c r="G48" s="8"/>
    </row>
    <row r="49" spans="1:7" ht="15.75" customHeight="1" x14ac:dyDescent="0.25">
      <c r="A49" s="5" t="s">
        <v>154</v>
      </c>
      <c r="B49" s="7">
        <v>2</v>
      </c>
      <c r="C49" s="8" t="s">
        <v>39</v>
      </c>
      <c r="D49" s="8" t="s">
        <v>155</v>
      </c>
      <c r="E49" s="8" t="s">
        <v>41</v>
      </c>
      <c r="F49" s="9">
        <v>3</v>
      </c>
      <c r="G49" s="8"/>
    </row>
    <row r="50" spans="1:7" ht="15.75" customHeight="1" x14ac:dyDescent="0.25">
      <c r="A50" s="5" t="s">
        <v>156</v>
      </c>
      <c r="B50" s="7">
        <v>3</v>
      </c>
      <c r="C50" s="8" t="s">
        <v>48</v>
      </c>
      <c r="D50" s="8" t="s">
        <v>157</v>
      </c>
      <c r="E50" s="8" t="s">
        <v>51</v>
      </c>
      <c r="F50" s="9">
        <v>3</v>
      </c>
      <c r="G50" s="8"/>
    </row>
    <row r="51" spans="1:7" ht="15.75" customHeight="1" x14ac:dyDescent="0.25">
      <c r="A51" s="5" t="s">
        <v>158</v>
      </c>
      <c r="B51" s="7">
        <v>3</v>
      </c>
      <c r="C51" s="8" t="s">
        <v>83</v>
      </c>
      <c r="D51" s="8" t="s">
        <v>160</v>
      </c>
      <c r="E51" s="8" t="s">
        <v>85</v>
      </c>
      <c r="F51" s="9">
        <v>3</v>
      </c>
      <c r="G51" s="8"/>
    </row>
    <row r="52" spans="1:7" ht="15.75" customHeight="1" x14ac:dyDescent="0.25">
      <c r="A52" s="5" t="s">
        <v>161</v>
      </c>
      <c r="B52" s="7">
        <v>2</v>
      </c>
      <c r="C52" s="8" t="s">
        <v>67</v>
      </c>
      <c r="D52" s="8" t="s">
        <v>162</v>
      </c>
      <c r="E52" s="8" t="s">
        <v>69</v>
      </c>
      <c r="F52" s="9">
        <v>3</v>
      </c>
      <c r="G52" s="8"/>
    </row>
    <row r="53" spans="1:7" ht="15.75" customHeight="1" x14ac:dyDescent="0.25">
      <c r="A53" s="5" t="s">
        <v>163</v>
      </c>
      <c r="B53" s="7">
        <v>1</v>
      </c>
      <c r="C53" s="8" t="s">
        <v>95</v>
      </c>
      <c r="D53" s="8" t="s">
        <v>164</v>
      </c>
      <c r="E53" s="8" t="s">
        <v>98</v>
      </c>
      <c r="F53" s="9">
        <v>3</v>
      </c>
      <c r="G53" s="8"/>
    </row>
    <row r="54" spans="1:7" ht="15.75" customHeight="1" x14ac:dyDescent="0.25">
      <c r="A54" s="5" t="s">
        <v>165</v>
      </c>
      <c r="B54" s="7">
        <v>1</v>
      </c>
      <c r="C54" s="8" t="s">
        <v>43</v>
      </c>
      <c r="D54" s="8" t="s">
        <v>166</v>
      </c>
      <c r="E54" s="8" t="s">
        <v>45</v>
      </c>
      <c r="F54" s="9">
        <v>3</v>
      </c>
      <c r="G54" s="8"/>
    </row>
    <row r="55" spans="1:7" ht="15.75" customHeight="1" x14ac:dyDescent="0.25">
      <c r="A55" s="5" t="s">
        <v>59</v>
      </c>
      <c r="B55" s="7">
        <v>3</v>
      </c>
      <c r="C55" s="8" t="s">
        <v>26</v>
      </c>
      <c r="D55" s="8" t="s">
        <v>169</v>
      </c>
      <c r="E55" s="8" t="s">
        <v>28</v>
      </c>
      <c r="F55" s="9">
        <v>1</v>
      </c>
      <c r="G55" s="8" t="s">
        <v>170</v>
      </c>
    </row>
    <row r="56" spans="1:7" ht="15.75" customHeight="1" x14ac:dyDescent="0.25">
      <c r="A56" s="5" t="s">
        <v>159</v>
      </c>
      <c r="B56" s="7">
        <v>1</v>
      </c>
      <c r="C56" s="8" t="s">
        <v>17</v>
      </c>
      <c r="D56" s="8" t="s">
        <v>171</v>
      </c>
      <c r="E56" s="8" t="s">
        <v>19</v>
      </c>
      <c r="F56" s="9">
        <v>3</v>
      </c>
      <c r="G56" s="8"/>
    </row>
    <row r="57" spans="1:7" ht="15.75" customHeight="1" x14ac:dyDescent="0.25">
      <c r="A57" s="5" t="s">
        <v>172</v>
      </c>
      <c r="B57" s="7">
        <v>1</v>
      </c>
      <c r="C57" s="8" t="s">
        <v>76</v>
      </c>
      <c r="D57" s="8" t="s">
        <v>173</v>
      </c>
      <c r="E57" s="8" t="s">
        <v>78</v>
      </c>
      <c r="F57" s="9">
        <v>3</v>
      </c>
      <c r="G57" s="8"/>
    </row>
    <row r="58" spans="1:7" ht="15.75" customHeight="1" x14ac:dyDescent="0.25">
      <c r="A58" s="5" t="s">
        <v>174</v>
      </c>
      <c r="B58" s="7">
        <v>1</v>
      </c>
      <c r="C58" s="8" t="s">
        <v>83</v>
      </c>
      <c r="D58" s="8" t="s">
        <v>175</v>
      </c>
      <c r="E58" s="8" t="s">
        <v>85</v>
      </c>
      <c r="F58" s="9">
        <v>3</v>
      </c>
      <c r="G58" s="8"/>
    </row>
    <row r="59" spans="1:7" ht="15.75" customHeight="1" x14ac:dyDescent="0.25">
      <c r="A59" s="5" t="s">
        <v>176</v>
      </c>
      <c r="B59" s="7">
        <v>2</v>
      </c>
      <c r="C59" s="8" t="s">
        <v>95</v>
      </c>
      <c r="D59" s="8" t="s">
        <v>177</v>
      </c>
      <c r="E59" s="8" t="s">
        <v>98</v>
      </c>
      <c r="F59" s="9">
        <v>3</v>
      </c>
      <c r="G59" s="8"/>
    </row>
    <row r="60" spans="1:7" ht="15.75" customHeight="1" x14ac:dyDescent="0.25">
      <c r="A60" s="5" t="s">
        <v>136</v>
      </c>
      <c r="B60" s="7">
        <v>1</v>
      </c>
      <c r="C60" s="8" t="s">
        <v>17</v>
      </c>
      <c r="D60" s="8" t="s">
        <v>179</v>
      </c>
      <c r="E60" s="8" t="s">
        <v>19</v>
      </c>
      <c r="F60" s="9">
        <v>3</v>
      </c>
      <c r="G60" s="8"/>
    </row>
    <row r="61" spans="1:7" ht="15.75" customHeight="1" x14ac:dyDescent="0.25">
      <c r="A61" s="5" t="s">
        <v>180</v>
      </c>
      <c r="B61" s="7">
        <v>3</v>
      </c>
      <c r="C61" s="8" t="s">
        <v>95</v>
      </c>
      <c r="D61" s="8" t="s">
        <v>181</v>
      </c>
      <c r="E61" s="8" t="s">
        <v>98</v>
      </c>
      <c r="F61" s="9">
        <v>3</v>
      </c>
      <c r="G61" s="8"/>
    </row>
    <row r="62" spans="1:7" ht="15.75" customHeight="1" x14ac:dyDescent="0.25">
      <c r="A62" s="5" t="s">
        <v>182</v>
      </c>
      <c r="B62" s="7">
        <v>1</v>
      </c>
      <c r="C62" s="8" t="s">
        <v>67</v>
      </c>
      <c r="D62" s="8" t="s">
        <v>183</v>
      </c>
      <c r="E62" s="8" t="s">
        <v>69</v>
      </c>
      <c r="F62" s="9">
        <v>3</v>
      </c>
      <c r="G62" s="8"/>
    </row>
    <row r="63" spans="1:7" ht="15.75" customHeight="1" x14ac:dyDescent="0.25">
      <c r="A63" s="5" t="s">
        <v>184</v>
      </c>
      <c r="B63" s="7">
        <v>3</v>
      </c>
      <c r="C63" s="8" t="s">
        <v>31</v>
      </c>
      <c r="D63" s="8" t="s">
        <v>185</v>
      </c>
      <c r="E63" s="8" t="s">
        <v>33</v>
      </c>
      <c r="F63" s="9">
        <v>3</v>
      </c>
      <c r="G63" s="8"/>
    </row>
    <row r="64" spans="1:7" ht="15.75" customHeight="1" x14ac:dyDescent="0.25">
      <c r="A64" s="5" t="s">
        <v>186</v>
      </c>
      <c r="B64" s="7">
        <v>3</v>
      </c>
      <c r="C64" s="8" t="s">
        <v>22</v>
      </c>
      <c r="D64" s="8" t="s">
        <v>187</v>
      </c>
      <c r="E64" s="8" t="s">
        <v>24</v>
      </c>
      <c r="F64" s="9">
        <v>3</v>
      </c>
      <c r="G64" s="8"/>
    </row>
    <row r="65" spans="1:7" ht="15.75" customHeight="1" x14ac:dyDescent="0.25">
      <c r="A65" s="5" t="s">
        <v>188</v>
      </c>
      <c r="B65" s="7">
        <v>3</v>
      </c>
      <c r="C65" s="8" t="s">
        <v>67</v>
      </c>
      <c r="D65" s="8" t="s">
        <v>190</v>
      </c>
      <c r="E65" s="8" t="s">
        <v>69</v>
      </c>
      <c r="F65" s="9">
        <v>3</v>
      </c>
      <c r="G65" s="8"/>
    </row>
    <row r="66" spans="1:7" ht="15.75" customHeight="1" x14ac:dyDescent="0.25">
      <c r="A66" s="5" t="s">
        <v>119</v>
      </c>
      <c r="B66" s="7">
        <v>1</v>
      </c>
      <c r="C66" s="8" t="s">
        <v>26</v>
      </c>
      <c r="D66" s="8" t="s">
        <v>191</v>
      </c>
      <c r="E66" s="8" t="s">
        <v>28</v>
      </c>
      <c r="F66" s="9">
        <v>3</v>
      </c>
      <c r="G66" s="8"/>
    </row>
    <row r="67" spans="1:7" ht="15.75" customHeight="1" x14ac:dyDescent="0.25">
      <c r="A67" s="5" t="s">
        <v>192</v>
      </c>
      <c r="B67" s="7">
        <v>3</v>
      </c>
      <c r="C67" s="8" t="s">
        <v>91</v>
      </c>
      <c r="D67" s="8" t="s">
        <v>193</v>
      </c>
      <c r="E67" s="8" t="s">
        <v>93</v>
      </c>
      <c r="F67" s="9">
        <v>3</v>
      </c>
      <c r="G67" s="8"/>
    </row>
    <row r="68" spans="1:7" ht="15.75" customHeight="1" x14ac:dyDescent="0.25">
      <c r="A68" s="5" t="s">
        <v>195</v>
      </c>
      <c r="B68" s="7">
        <v>1</v>
      </c>
      <c r="C68" s="8" t="s">
        <v>13</v>
      </c>
      <c r="D68" s="8" t="s">
        <v>196</v>
      </c>
      <c r="E68" s="8" t="s">
        <v>15</v>
      </c>
      <c r="F68" s="9">
        <v>3</v>
      </c>
      <c r="G68" s="8"/>
    </row>
    <row r="69" spans="1:7" ht="15.75" customHeight="1" x14ac:dyDescent="0.25">
      <c r="A69" s="5" t="s">
        <v>197</v>
      </c>
      <c r="B69" s="7">
        <v>1</v>
      </c>
      <c r="C69" s="8" t="s">
        <v>91</v>
      </c>
      <c r="D69" s="8" t="s">
        <v>198</v>
      </c>
      <c r="E69" s="8" t="s">
        <v>93</v>
      </c>
      <c r="F69" s="9">
        <v>3</v>
      </c>
      <c r="G69" s="8"/>
    </row>
    <row r="70" spans="1:7" ht="15.75" customHeight="1" x14ac:dyDescent="0.25">
      <c r="A70" s="5" t="s">
        <v>199</v>
      </c>
      <c r="B70" s="7">
        <v>3</v>
      </c>
      <c r="C70" s="8" t="s">
        <v>83</v>
      </c>
      <c r="D70" s="8" t="s">
        <v>202</v>
      </c>
      <c r="E70" s="8" t="s">
        <v>85</v>
      </c>
      <c r="F70" s="9">
        <v>3</v>
      </c>
      <c r="G70" s="8"/>
    </row>
    <row r="71" spans="1:7" ht="15.75" customHeight="1" x14ac:dyDescent="0.25">
      <c r="A71" s="5" t="s">
        <v>203</v>
      </c>
      <c r="B71" s="7">
        <v>3</v>
      </c>
      <c r="C71" s="8" t="s">
        <v>91</v>
      </c>
      <c r="D71" s="8" t="s">
        <v>204</v>
      </c>
      <c r="E71" s="8" t="s">
        <v>93</v>
      </c>
      <c r="F71" s="9">
        <v>3</v>
      </c>
      <c r="G71" s="8"/>
    </row>
    <row r="72" spans="1:7" ht="15.75" customHeight="1" x14ac:dyDescent="0.25">
      <c r="A72" s="5" t="s">
        <v>205</v>
      </c>
      <c r="B72" s="7">
        <v>2</v>
      </c>
      <c r="C72" s="8" t="s">
        <v>43</v>
      </c>
      <c r="D72" s="8" t="s">
        <v>206</v>
      </c>
      <c r="E72" s="8" t="s">
        <v>45</v>
      </c>
      <c r="F72" s="9">
        <v>3</v>
      </c>
      <c r="G72" s="8"/>
    </row>
    <row r="73" spans="1:7" ht="15.75" customHeight="1" x14ac:dyDescent="0.25">
      <c r="A73" s="5" t="s">
        <v>207</v>
      </c>
      <c r="B73" s="7">
        <v>2</v>
      </c>
      <c r="C73" s="8" t="s">
        <v>31</v>
      </c>
      <c r="D73" s="8" t="s">
        <v>208</v>
      </c>
      <c r="E73" s="8" t="s">
        <v>33</v>
      </c>
      <c r="F73" s="9">
        <v>3</v>
      </c>
      <c r="G73" s="8"/>
    </row>
    <row r="74" spans="1:7" ht="15.75" customHeight="1" x14ac:dyDescent="0.25">
      <c r="A74" s="5" t="s">
        <v>209</v>
      </c>
      <c r="B74" s="7">
        <v>2</v>
      </c>
      <c r="C74" s="8" t="s">
        <v>76</v>
      </c>
      <c r="D74" s="8" t="s">
        <v>210</v>
      </c>
      <c r="E74" s="8" t="s">
        <v>78</v>
      </c>
      <c r="F74" s="9">
        <v>3</v>
      </c>
      <c r="G74" s="8"/>
    </row>
    <row r="75" spans="1:7" ht="15.75" customHeight="1" x14ac:dyDescent="0.25">
      <c r="A75" s="5" t="s">
        <v>211</v>
      </c>
      <c r="B75" s="7">
        <v>3</v>
      </c>
      <c r="C75" s="8" t="s">
        <v>43</v>
      </c>
      <c r="D75" s="8" t="s">
        <v>212</v>
      </c>
      <c r="E75" s="8" t="s">
        <v>45</v>
      </c>
      <c r="F75" s="9">
        <v>3</v>
      </c>
      <c r="G75" s="8"/>
    </row>
    <row r="76" spans="1:7" ht="15.75" customHeight="1" x14ac:dyDescent="0.25">
      <c r="A76" s="5" t="s">
        <v>213</v>
      </c>
      <c r="B76" s="7">
        <v>1</v>
      </c>
      <c r="C76" s="8" t="s">
        <v>43</v>
      </c>
      <c r="D76" s="8" t="s">
        <v>214</v>
      </c>
      <c r="E76" s="8" t="s">
        <v>45</v>
      </c>
      <c r="F76" s="9">
        <v>3</v>
      </c>
      <c r="G76" s="8"/>
    </row>
    <row r="77" spans="1:7" ht="15.75" customHeight="1" x14ac:dyDescent="0.25">
      <c r="A77" s="5" t="s">
        <v>215</v>
      </c>
      <c r="B77" s="7">
        <v>3</v>
      </c>
      <c r="C77" s="8" t="s">
        <v>95</v>
      </c>
      <c r="D77" s="8" t="s">
        <v>216</v>
      </c>
      <c r="E77" s="8" t="s">
        <v>98</v>
      </c>
      <c r="F77" s="9">
        <v>3</v>
      </c>
      <c r="G77" s="8"/>
    </row>
    <row r="78" spans="1:7" ht="15.75" customHeight="1" x14ac:dyDescent="0.25">
      <c r="A78" s="5" t="s">
        <v>217</v>
      </c>
      <c r="B78" s="7">
        <v>1</v>
      </c>
      <c r="C78" s="8" t="s">
        <v>91</v>
      </c>
      <c r="D78" s="8" t="s">
        <v>218</v>
      </c>
      <c r="E78" s="8" t="s">
        <v>93</v>
      </c>
      <c r="F78" s="9">
        <v>3</v>
      </c>
      <c r="G78" s="8"/>
    </row>
    <row r="79" spans="1:7" ht="15.75" customHeight="1" x14ac:dyDescent="0.25">
      <c r="A79" s="5" t="s">
        <v>82</v>
      </c>
      <c r="B79" s="7">
        <v>2</v>
      </c>
      <c r="C79" s="8" t="s">
        <v>26</v>
      </c>
      <c r="D79" s="8" t="s">
        <v>219</v>
      </c>
      <c r="E79" s="8" t="s">
        <v>28</v>
      </c>
      <c r="F79" s="9">
        <v>2</v>
      </c>
      <c r="G79" s="8" t="s">
        <v>220</v>
      </c>
    </row>
    <row r="80" spans="1:7" ht="15.75" customHeight="1" x14ac:dyDescent="0.25">
      <c r="A80" s="5" t="s">
        <v>221</v>
      </c>
      <c r="B80" s="7">
        <v>1</v>
      </c>
      <c r="C80" s="8" t="s">
        <v>13</v>
      </c>
      <c r="D80" s="8" t="s">
        <v>222</v>
      </c>
      <c r="E80" s="8" t="s">
        <v>15</v>
      </c>
      <c r="F80" s="9">
        <v>3</v>
      </c>
      <c r="G80" s="8"/>
    </row>
    <row r="81" spans="1:7" ht="15.75" customHeight="1" x14ac:dyDescent="0.25">
      <c r="A81" s="5" t="s">
        <v>223</v>
      </c>
      <c r="B81" s="7">
        <v>1</v>
      </c>
      <c r="C81" s="8" t="s">
        <v>31</v>
      </c>
      <c r="D81" s="8" t="s">
        <v>224</v>
      </c>
      <c r="E81" s="8" t="s">
        <v>33</v>
      </c>
      <c r="F81" s="9">
        <v>3</v>
      </c>
      <c r="G81" s="8"/>
    </row>
    <row r="82" spans="1:7" ht="15.75" customHeight="1" x14ac:dyDescent="0.25">
      <c r="A82" s="5" t="s">
        <v>142</v>
      </c>
      <c r="B82" s="7">
        <v>3</v>
      </c>
      <c r="C82" s="8" t="s">
        <v>17</v>
      </c>
      <c r="D82" s="8" t="s">
        <v>225</v>
      </c>
      <c r="E82" s="8" t="s">
        <v>19</v>
      </c>
      <c r="F82" s="9">
        <v>3</v>
      </c>
      <c r="G82" s="8"/>
    </row>
    <row r="83" spans="1:7" ht="15.75" customHeight="1" x14ac:dyDescent="0.25">
      <c r="A83" s="5" t="s">
        <v>226</v>
      </c>
      <c r="B83" s="7">
        <v>1</v>
      </c>
      <c r="C83" s="8" t="s">
        <v>35</v>
      </c>
      <c r="D83" s="8" t="s">
        <v>227</v>
      </c>
      <c r="E83" s="8" t="s">
        <v>37</v>
      </c>
      <c r="F83" s="9">
        <v>3</v>
      </c>
      <c r="G83" s="8"/>
    </row>
    <row r="84" spans="1:7" ht="15.75" customHeight="1" x14ac:dyDescent="0.25">
      <c r="A84" s="5" t="s">
        <v>189</v>
      </c>
      <c r="B84" s="7">
        <v>2</v>
      </c>
      <c r="C84" s="8" t="s">
        <v>39</v>
      </c>
      <c r="D84" s="8" t="s">
        <v>228</v>
      </c>
      <c r="E84" s="8" t="s">
        <v>41</v>
      </c>
      <c r="F84" s="9">
        <v>2</v>
      </c>
      <c r="G84" s="8" t="s">
        <v>229</v>
      </c>
    </row>
    <row r="85" spans="1:7" ht="15.75" customHeight="1" x14ac:dyDescent="0.25">
      <c r="A85" s="5" t="s">
        <v>178</v>
      </c>
      <c r="B85" s="7">
        <v>3</v>
      </c>
      <c r="C85" s="8" t="s">
        <v>39</v>
      </c>
      <c r="D85" s="8" t="s">
        <v>230</v>
      </c>
      <c r="E85" s="8" t="s">
        <v>41</v>
      </c>
      <c r="F85" s="9">
        <v>3</v>
      </c>
      <c r="G85" s="8"/>
    </row>
    <row r="86" spans="1:7" ht="15.75" customHeight="1" x14ac:dyDescent="0.25">
      <c r="A86" s="5" t="s">
        <v>233</v>
      </c>
      <c r="B86" s="7">
        <v>2</v>
      </c>
      <c r="C86" s="8" t="s">
        <v>43</v>
      </c>
      <c r="D86" s="8" t="s">
        <v>234</v>
      </c>
      <c r="E86" s="8" t="s">
        <v>45</v>
      </c>
      <c r="F86" s="9">
        <v>3</v>
      </c>
      <c r="G86" s="8"/>
    </row>
    <row r="87" spans="1:7" ht="15.75" customHeight="1" x14ac:dyDescent="0.25">
      <c r="A87" s="5" t="s">
        <v>235</v>
      </c>
      <c r="B87" s="7">
        <v>2</v>
      </c>
      <c r="C87" s="8" t="s">
        <v>53</v>
      </c>
      <c r="D87" s="8" t="s">
        <v>236</v>
      </c>
      <c r="E87" s="8" t="s">
        <v>55</v>
      </c>
      <c r="F87" s="9">
        <v>3</v>
      </c>
      <c r="G87" s="8"/>
    </row>
    <row r="88" spans="1:7" ht="15.75" customHeight="1" x14ac:dyDescent="0.25">
      <c r="A88" s="5" t="s">
        <v>237</v>
      </c>
      <c r="B88" s="7">
        <v>3</v>
      </c>
      <c r="C88" s="8" t="s">
        <v>53</v>
      </c>
      <c r="D88" s="8" t="s">
        <v>238</v>
      </c>
      <c r="E88" s="8" t="s">
        <v>55</v>
      </c>
      <c r="F88" s="9">
        <v>3</v>
      </c>
      <c r="G88" s="8"/>
    </row>
    <row r="89" spans="1:7" ht="15.75" customHeight="1" x14ac:dyDescent="0.25">
      <c r="A89" s="5" t="s">
        <v>97</v>
      </c>
      <c r="B89" s="7">
        <v>1</v>
      </c>
      <c r="C89" s="8" t="s">
        <v>26</v>
      </c>
      <c r="D89" s="8" t="s">
        <v>239</v>
      </c>
      <c r="E89" s="8" t="s">
        <v>28</v>
      </c>
      <c r="F89" s="9">
        <v>2</v>
      </c>
      <c r="G89" s="8" t="s">
        <v>240</v>
      </c>
    </row>
    <row r="90" spans="1:7" ht="15.75" customHeight="1" x14ac:dyDescent="0.25">
      <c r="A90" s="5" t="s">
        <v>194</v>
      </c>
      <c r="B90" s="7">
        <v>3</v>
      </c>
      <c r="C90" s="8" t="s">
        <v>39</v>
      </c>
      <c r="D90" s="8" t="s">
        <v>241</v>
      </c>
      <c r="E90" s="8" t="s">
        <v>41</v>
      </c>
      <c r="F90" s="9">
        <v>2</v>
      </c>
      <c r="G90" s="8" t="s">
        <v>242</v>
      </c>
    </row>
    <row r="91" spans="1:7" ht="15.75" customHeight="1" x14ac:dyDescent="0.25">
      <c r="A91" s="5" t="s">
        <v>243</v>
      </c>
      <c r="B91" s="7">
        <v>1</v>
      </c>
      <c r="C91" s="8" t="s">
        <v>95</v>
      </c>
      <c r="D91" s="8" t="s">
        <v>244</v>
      </c>
      <c r="E91" s="8" t="s">
        <v>98</v>
      </c>
      <c r="F91" s="9">
        <v>3</v>
      </c>
      <c r="G91" s="8"/>
    </row>
    <row r="92" spans="1:7" ht="15.75" customHeight="1" x14ac:dyDescent="0.25"/>
    <row r="93" spans="1:7" ht="15.75" customHeight="1" x14ac:dyDescent="0.25"/>
    <row r="94" spans="1:7" ht="15.75" customHeight="1" x14ac:dyDescent="0.25"/>
    <row r="95" spans="1:7" ht="15.75" customHeight="1" x14ac:dyDescent="0.25"/>
    <row r="96" spans="1:7"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Z91" xr:uid="{00000000-0009-0000-0000-000000000000}"/>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pane ySplit="1" topLeftCell="A56" activePane="bottomLeft" state="frozen"/>
      <selection pane="bottomLeft" activeCell="D17" sqref="D17"/>
    </sheetView>
  </sheetViews>
  <sheetFormatPr baseColWidth="10" defaultColWidth="14.42578125" defaultRowHeight="15" customHeight="1" x14ac:dyDescent="0.25"/>
  <cols>
    <col min="1" max="1" width="22.5703125" customWidth="1"/>
    <col min="2" max="2" width="25.140625" customWidth="1"/>
    <col min="3" max="3" width="34" customWidth="1"/>
    <col min="4" max="4" width="28.140625" customWidth="1"/>
    <col min="5" max="5" width="21.85546875" customWidth="1"/>
    <col min="6" max="6" width="28.140625" customWidth="1"/>
    <col min="7" max="25" width="8.7109375" customWidth="1"/>
  </cols>
  <sheetData>
    <row r="1" spans="1:6" ht="22.5" customHeight="1" x14ac:dyDescent="0.25">
      <c r="A1" s="11" t="s">
        <v>1</v>
      </c>
      <c r="B1" s="11" t="s">
        <v>46</v>
      </c>
      <c r="C1" s="11" t="s">
        <v>49</v>
      </c>
      <c r="D1" s="11" t="s">
        <v>5</v>
      </c>
      <c r="E1" s="11" t="s">
        <v>3</v>
      </c>
      <c r="F1" s="12" t="s">
        <v>56</v>
      </c>
    </row>
    <row r="2" spans="1:6" ht="22.5" customHeight="1" x14ac:dyDescent="0.25">
      <c r="A2" s="13" t="s">
        <v>59</v>
      </c>
      <c r="B2" s="14" t="s">
        <v>61</v>
      </c>
      <c r="C2" s="15" t="s">
        <v>63</v>
      </c>
      <c r="D2" s="14" t="s">
        <v>12</v>
      </c>
      <c r="E2" s="14">
        <v>3</v>
      </c>
      <c r="F2" s="16">
        <f>Kodierung!F55</f>
        <v>1</v>
      </c>
    </row>
    <row r="3" spans="1:6" ht="22.5" customHeight="1" x14ac:dyDescent="0.25">
      <c r="A3" s="13" t="s">
        <v>82</v>
      </c>
      <c r="B3" s="14" t="s">
        <v>61</v>
      </c>
      <c r="C3" s="15" t="s">
        <v>63</v>
      </c>
      <c r="D3" s="14" t="s">
        <v>12</v>
      </c>
      <c r="E3" s="14">
        <v>2</v>
      </c>
      <c r="F3" s="16">
        <f>Kodierung!F79</f>
        <v>2</v>
      </c>
    </row>
    <row r="4" spans="1:6" ht="22.5" customHeight="1" x14ac:dyDescent="0.25">
      <c r="A4" s="13" t="s">
        <v>97</v>
      </c>
      <c r="B4" s="14" t="s">
        <v>61</v>
      </c>
      <c r="C4" s="15" t="s">
        <v>63</v>
      </c>
      <c r="D4" s="14" t="s">
        <v>12</v>
      </c>
      <c r="E4" s="14">
        <v>1</v>
      </c>
      <c r="F4" s="16">
        <f>Kodierung!F89</f>
        <v>2</v>
      </c>
    </row>
    <row r="5" spans="1:6" ht="22.5" customHeight="1" x14ac:dyDescent="0.25">
      <c r="A5" s="7" t="s">
        <v>25</v>
      </c>
      <c r="B5" s="17" t="s">
        <v>61</v>
      </c>
      <c r="C5" s="8" t="s">
        <v>63</v>
      </c>
      <c r="D5" s="17" t="s">
        <v>20</v>
      </c>
      <c r="E5" s="17">
        <v>2</v>
      </c>
      <c r="F5" s="18">
        <f>Kodierung!F5</f>
        <v>3</v>
      </c>
    </row>
    <row r="6" spans="1:6" ht="22.5" customHeight="1" x14ac:dyDescent="0.25">
      <c r="A6" s="7" t="s">
        <v>113</v>
      </c>
      <c r="B6" s="17" t="s">
        <v>61</v>
      </c>
      <c r="C6" s="8" t="s">
        <v>63</v>
      </c>
      <c r="D6" s="17" t="s">
        <v>20</v>
      </c>
      <c r="E6" s="17">
        <v>3</v>
      </c>
      <c r="F6" s="18">
        <f>Kodierung!F48</f>
        <v>3</v>
      </c>
    </row>
    <row r="7" spans="1:6" ht="22.5" customHeight="1" x14ac:dyDescent="0.25">
      <c r="A7" s="7" t="s">
        <v>119</v>
      </c>
      <c r="B7" s="17" t="s">
        <v>61</v>
      </c>
      <c r="C7" s="8" t="s">
        <v>63</v>
      </c>
      <c r="D7" s="17" t="s">
        <v>20</v>
      </c>
      <c r="E7" s="17">
        <v>1</v>
      </c>
      <c r="F7" s="18">
        <f>Kodierung!F66</f>
        <v>3</v>
      </c>
    </row>
    <row r="8" spans="1:6" ht="22.5" customHeight="1" x14ac:dyDescent="0.25">
      <c r="A8" s="7" t="s">
        <v>16</v>
      </c>
      <c r="B8" s="17" t="s">
        <v>127</v>
      </c>
      <c r="C8" s="8" t="s">
        <v>129</v>
      </c>
      <c r="D8" s="17" t="s">
        <v>12</v>
      </c>
      <c r="E8" s="17">
        <v>2</v>
      </c>
      <c r="F8" s="18">
        <f>Kodierung!F3</f>
        <v>3</v>
      </c>
    </row>
    <row r="9" spans="1:6" ht="22.5" customHeight="1" x14ac:dyDescent="0.25">
      <c r="A9" s="7" t="s">
        <v>136</v>
      </c>
      <c r="B9" s="17" t="s">
        <v>127</v>
      </c>
      <c r="C9" s="8" t="s">
        <v>129</v>
      </c>
      <c r="D9" s="17" t="s">
        <v>12</v>
      </c>
      <c r="E9" s="17">
        <v>1</v>
      </c>
      <c r="F9" s="18">
        <f>Kodierung!F60</f>
        <v>3</v>
      </c>
    </row>
    <row r="10" spans="1:6" ht="22.5" customHeight="1" x14ac:dyDescent="0.25">
      <c r="A10" s="7" t="s">
        <v>142</v>
      </c>
      <c r="B10" s="17" t="s">
        <v>127</v>
      </c>
      <c r="C10" s="8" t="s">
        <v>129</v>
      </c>
      <c r="D10" s="17" t="s">
        <v>12</v>
      </c>
      <c r="E10" s="17">
        <v>3</v>
      </c>
      <c r="F10" s="18">
        <f>Kodierung!F82</f>
        <v>3</v>
      </c>
    </row>
    <row r="11" spans="1:6" ht="22.5" customHeight="1" x14ac:dyDescent="0.25">
      <c r="A11" s="7" t="s">
        <v>103</v>
      </c>
      <c r="B11" s="17" t="s">
        <v>127</v>
      </c>
      <c r="C11" s="8" t="s">
        <v>129</v>
      </c>
      <c r="D11" s="17" t="s">
        <v>20</v>
      </c>
      <c r="E11" s="17">
        <v>3</v>
      </c>
      <c r="F11" s="18">
        <f>Kodierung!F27</f>
        <v>3</v>
      </c>
    </row>
    <row r="12" spans="1:6" ht="22.5" customHeight="1" x14ac:dyDescent="0.25">
      <c r="A12" s="7" t="s">
        <v>147</v>
      </c>
      <c r="B12" s="17" t="s">
        <v>127</v>
      </c>
      <c r="C12" s="8" t="s">
        <v>129</v>
      </c>
      <c r="D12" s="17" t="s">
        <v>20</v>
      </c>
      <c r="E12" s="17">
        <v>2</v>
      </c>
      <c r="F12" s="18">
        <f>Kodierung!F45</f>
        <v>3</v>
      </c>
    </row>
    <row r="13" spans="1:6" ht="22.5" customHeight="1" x14ac:dyDescent="0.25">
      <c r="A13" s="7" t="s">
        <v>159</v>
      </c>
      <c r="B13" s="17" t="s">
        <v>127</v>
      </c>
      <c r="C13" s="8" t="s">
        <v>129</v>
      </c>
      <c r="D13" s="17" t="s">
        <v>20</v>
      </c>
      <c r="E13" s="17">
        <v>1</v>
      </c>
      <c r="F13" s="18">
        <f>Kodierung!F56</f>
        <v>3</v>
      </c>
    </row>
    <row r="14" spans="1:6" ht="22.5" customHeight="1" x14ac:dyDescent="0.25">
      <c r="A14" s="7" t="s">
        <v>38</v>
      </c>
      <c r="B14" s="17" t="s">
        <v>167</v>
      </c>
      <c r="C14" s="8" t="s">
        <v>168</v>
      </c>
      <c r="D14" s="17" t="s">
        <v>12</v>
      </c>
      <c r="E14" s="17">
        <v>1</v>
      </c>
      <c r="F14" s="18">
        <f>Kodierung!F8</f>
        <v>3</v>
      </c>
    </row>
    <row r="15" spans="1:6" ht="22.5" customHeight="1" x14ac:dyDescent="0.25">
      <c r="A15" s="7" t="s">
        <v>154</v>
      </c>
      <c r="B15" s="17" t="s">
        <v>167</v>
      </c>
      <c r="C15" s="8" t="s">
        <v>168</v>
      </c>
      <c r="D15" s="17" t="s">
        <v>12</v>
      </c>
      <c r="E15" s="17">
        <v>2</v>
      </c>
      <c r="F15" s="18">
        <f>Kodierung!F49</f>
        <v>3</v>
      </c>
    </row>
    <row r="16" spans="1:6" ht="22.5" customHeight="1" x14ac:dyDescent="0.25">
      <c r="A16" s="7" t="s">
        <v>178</v>
      </c>
      <c r="B16" s="17" t="s">
        <v>167</v>
      </c>
      <c r="C16" s="8" t="s">
        <v>168</v>
      </c>
      <c r="D16" s="17" t="s">
        <v>12</v>
      </c>
      <c r="E16" s="17">
        <v>3</v>
      </c>
      <c r="F16" s="18">
        <f>Kodierung!F85</f>
        <v>3</v>
      </c>
    </row>
    <row r="17" spans="1:6" ht="22.5" customHeight="1" x14ac:dyDescent="0.25">
      <c r="A17" s="13" t="s">
        <v>130</v>
      </c>
      <c r="B17" s="14" t="s">
        <v>167</v>
      </c>
      <c r="C17" s="15" t="s">
        <v>168</v>
      </c>
      <c r="D17" s="14" t="s">
        <v>20</v>
      </c>
      <c r="E17" s="14">
        <v>1</v>
      </c>
      <c r="F17" s="16">
        <f>Kodierung!F38</f>
        <v>2</v>
      </c>
    </row>
    <row r="18" spans="1:6" ht="22.5" customHeight="1" x14ac:dyDescent="0.25">
      <c r="A18" s="13" t="s">
        <v>189</v>
      </c>
      <c r="B18" s="14" t="s">
        <v>167</v>
      </c>
      <c r="C18" s="15" t="s">
        <v>168</v>
      </c>
      <c r="D18" s="14" t="s">
        <v>20</v>
      </c>
      <c r="E18" s="14">
        <v>2</v>
      </c>
      <c r="F18" s="16">
        <f>Kodierung!F84</f>
        <v>2</v>
      </c>
    </row>
    <row r="19" spans="1:6" ht="22.5" customHeight="1" x14ac:dyDescent="0.25">
      <c r="A19" s="13" t="s">
        <v>194</v>
      </c>
      <c r="B19" s="14" t="s">
        <v>167</v>
      </c>
      <c r="C19" s="15" t="s">
        <v>168</v>
      </c>
      <c r="D19" s="14" t="s">
        <v>20</v>
      </c>
      <c r="E19" s="14">
        <v>3</v>
      </c>
      <c r="F19" s="16">
        <f>Kodierung!F90</f>
        <v>2</v>
      </c>
    </row>
    <row r="20" spans="1:6" ht="22.5" customHeight="1" x14ac:dyDescent="0.25">
      <c r="A20" s="7" t="s">
        <v>135</v>
      </c>
      <c r="B20" s="17" t="s">
        <v>200</v>
      </c>
      <c r="C20" s="8" t="s">
        <v>201</v>
      </c>
      <c r="D20" s="17" t="s">
        <v>12</v>
      </c>
      <c r="E20" s="17">
        <v>3</v>
      </c>
      <c r="F20" s="18">
        <f>Kodierung!F40</f>
        <v>3</v>
      </c>
    </row>
    <row r="21" spans="1:6" ht="15.75" customHeight="1" x14ac:dyDescent="0.25">
      <c r="A21" s="7" t="s">
        <v>161</v>
      </c>
      <c r="B21" s="17" t="s">
        <v>200</v>
      </c>
      <c r="C21" s="8" t="s">
        <v>201</v>
      </c>
      <c r="D21" s="17" t="s">
        <v>12</v>
      </c>
      <c r="E21" s="17">
        <v>2</v>
      </c>
      <c r="F21" s="18">
        <f>Kodierung!F52</f>
        <v>3</v>
      </c>
    </row>
    <row r="22" spans="1:6" ht="15.75" customHeight="1" x14ac:dyDescent="0.25">
      <c r="A22" s="7" t="s">
        <v>182</v>
      </c>
      <c r="B22" s="17" t="s">
        <v>200</v>
      </c>
      <c r="C22" s="8" t="s">
        <v>201</v>
      </c>
      <c r="D22" s="17" t="s">
        <v>12</v>
      </c>
      <c r="E22" s="17">
        <v>1</v>
      </c>
      <c r="F22" s="18">
        <f>Kodierung!F62</f>
        <v>3</v>
      </c>
    </row>
    <row r="23" spans="1:6" ht="15.75" customHeight="1" x14ac:dyDescent="0.25">
      <c r="A23" s="7" t="s">
        <v>66</v>
      </c>
      <c r="B23" s="17" t="s">
        <v>200</v>
      </c>
      <c r="C23" s="8" t="s">
        <v>201</v>
      </c>
      <c r="D23" s="17" t="s">
        <v>20</v>
      </c>
      <c r="E23" s="17">
        <v>2</v>
      </c>
      <c r="F23" s="18">
        <f>Kodierung!F15</f>
        <v>3</v>
      </c>
    </row>
    <row r="24" spans="1:6" ht="15.75" customHeight="1" x14ac:dyDescent="0.25">
      <c r="A24" s="7" t="s">
        <v>138</v>
      </c>
      <c r="B24" s="17" t="s">
        <v>200</v>
      </c>
      <c r="C24" s="8" t="s">
        <v>201</v>
      </c>
      <c r="D24" s="17" t="s">
        <v>20</v>
      </c>
      <c r="E24" s="17">
        <v>1</v>
      </c>
      <c r="F24" s="18">
        <f>Kodierung!F41</f>
        <v>3</v>
      </c>
    </row>
    <row r="25" spans="1:6" ht="15.75" customHeight="1" x14ac:dyDescent="0.25">
      <c r="A25" s="7" t="s">
        <v>188</v>
      </c>
      <c r="B25" s="17" t="s">
        <v>200</v>
      </c>
      <c r="C25" s="8" t="s">
        <v>201</v>
      </c>
      <c r="D25" s="17" t="s">
        <v>20</v>
      </c>
      <c r="E25" s="17">
        <v>3</v>
      </c>
      <c r="F25" s="18">
        <f>Kodierung!F65</f>
        <v>3</v>
      </c>
    </row>
    <row r="26" spans="1:6" ht="15.75" customHeight="1" x14ac:dyDescent="0.25">
      <c r="A26" s="7" t="s">
        <v>211</v>
      </c>
      <c r="B26" s="17" t="s">
        <v>231</v>
      </c>
      <c r="C26" s="8" t="s">
        <v>232</v>
      </c>
      <c r="D26" s="17" t="s">
        <v>12</v>
      </c>
      <c r="E26" s="17">
        <v>3</v>
      </c>
      <c r="F26" s="18">
        <f>Kodierung!F75</f>
        <v>3</v>
      </c>
    </row>
    <row r="27" spans="1:6" ht="15.75" customHeight="1" x14ac:dyDescent="0.25">
      <c r="A27" s="7" t="s">
        <v>213</v>
      </c>
      <c r="B27" s="17" t="s">
        <v>231</v>
      </c>
      <c r="C27" s="8" t="s">
        <v>232</v>
      </c>
      <c r="D27" s="17" t="s">
        <v>12</v>
      </c>
      <c r="E27" s="17">
        <v>1</v>
      </c>
      <c r="F27" s="18">
        <f>Kodierung!F76</f>
        <v>3</v>
      </c>
    </row>
    <row r="28" spans="1:6" ht="15.75" customHeight="1" x14ac:dyDescent="0.25">
      <c r="A28" s="7" t="s">
        <v>233</v>
      </c>
      <c r="B28" s="17" t="s">
        <v>231</v>
      </c>
      <c r="C28" s="8" t="s">
        <v>232</v>
      </c>
      <c r="D28" s="17" t="s">
        <v>12</v>
      </c>
      <c r="E28" s="17">
        <v>2</v>
      </c>
      <c r="F28" s="18">
        <f>Kodierung!F86</f>
        <v>3</v>
      </c>
    </row>
    <row r="29" spans="1:6" ht="15.75" customHeight="1" x14ac:dyDescent="0.25">
      <c r="A29" s="7" t="s">
        <v>42</v>
      </c>
      <c r="B29" s="17" t="s">
        <v>231</v>
      </c>
      <c r="C29" s="8" t="s">
        <v>232</v>
      </c>
      <c r="D29" s="17" t="s">
        <v>20</v>
      </c>
      <c r="E29" s="17">
        <v>3</v>
      </c>
      <c r="F29" s="18">
        <f>Kodierung!F9</f>
        <v>3</v>
      </c>
    </row>
    <row r="30" spans="1:6" ht="15.75" customHeight="1" x14ac:dyDescent="0.25">
      <c r="A30" s="7" t="s">
        <v>165</v>
      </c>
      <c r="B30" s="17" t="s">
        <v>231</v>
      </c>
      <c r="C30" s="8" t="s">
        <v>232</v>
      </c>
      <c r="D30" s="17" t="s">
        <v>20</v>
      </c>
      <c r="E30" s="17">
        <v>1</v>
      </c>
      <c r="F30" s="18">
        <f>Kodierung!F54</f>
        <v>3</v>
      </c>
    </row>
    <row r="31" spans="1:6" ht="15.75" customHeight="1" x14ac:dyDescent="0.25">
      <c r="A31" s="7" t="s">
        <v>205</v>
      </c>
      <c r="B31" s="17" t="s">
        <v>231</v>
      </c>
      <c r="C31" s="8" t="s">
        <v>232</v>
      </c>
      <c r="D31" s="17" t="s">
        <v>20</v>
      </c>
      <c r="E31" s="17">
        <v>2</v>
      </c>
      <c r="F31" s="18">
        <f>Kodierung!F72</f>
        <v>3</v>
      </c>
    </row>
    <row r="32" spans="1:6" ht="15.75" customHeight="1" x14ac:dyDescent="0.25">
      <c r="A32" s="7" t="s">
        <v>101</v>
      </c>
      <c r="B32" s="17" t="s">
        <v>245</v>
      </c>
      <c r="C32" s="8" t="s">
        <v>246</v>
      </c>
      <c r="D32" s="17" t="s">
        <v>12</v>
      </c>
      <c r="E32" s="17">
        <v>1</v>
      </c>
      <c r="F32" s="18">
        <f>Kodierung!F26</f>
        <v>3</v>
      </c>
    </row>
    <row r="33" spans="1:6" ht="15.75" customHeight="1" x14ac:dyDescent="0.25">
      <c r="A33" s="7" t="s">
        <v>149</v>
      </c>
      <c r="B33" s="17" t="s">
        <v>245</v>
      </c>
      <c r="C33" s="8" t="s">
        <v>246</v>
      </c>
      <c r="D33" s="17" t="s">
        <v>12</v>
      </c>
      <c r="E33" s="17">
        <v>2</v>
      </c>
      <c r="F33" s="18">
        <f>Kodierung!F46</f>
        <v>3</v>
      </c>
    </row>
    <row r="34" spans="1:6" ht="15.75" customHeight="1" x14ac:dyDescent="0.25">
      <c r="A34" s="7" t="s">
        <v>237</v>
      </c>
      <c r="B34" s="17" t="s">
        <v>245</v>
      </c>
      <c r="C34" s="8" t="s">
        <v>246</v>
      </c>
      <c r="D34" s="17" t="s">
        <v>12</v>
      </c>
      <c r="E34" s="17">
        <v>3</v>
      </c>
      <c r="F34" s="18">
        <f>Kodierung!F88</f>
        <v>3</v>
      </c>
    </row>
    <row r="35" spans="1:6" ht="15.75" customHeight="1" x14ac:dyDescent="0.25">
      <c r="A35" s="7" t="s">
        <v>52</v>
      </c>
      <c r="B35" s="17" t="s">
        <v>245</v>
      </c>
      <c r="C35" s="8" t="s">
        <v>246</v>
      </c>
      <c r="D35" s="17" t="s">
        <v>20</v>
      </c>
      <c r="E35" s="17">
        <v>3</v>
      </c>
      <c r="F35" s="18">
        <f>Kodierung!F11</f>
        <v>3</v>
      </c>
    </row>
    <row r="36" spans="1:6" ht="15.75" customHeight="1" x14ac:dyDescent="0.25">
      <c r="A36" s="7" t="s">
        <v>109</v>
      </c>
      <c r="B36" s="17" t="s">
        <v>245</v>
      </c>
      <c r="C36" s="8" t="s">
        <v>246</v>
      </c>
      <c r="D36" s="17" t="s">
        <v>20</v>
      </c>
      <c r="E36" s="17">
        <v>1</v>
      </c>
      <c r="F36" s="18">
        <f>Kodierung!F30</f>
        <v>3</v>
      </c>
    </row>
    <row r="37" spans="1:6" ht="15.75" customHeight="1" x14ac:dyDescent="0.25">
      <c r="A37" s="7" t="s">
        <v>235</v>
      </c>
      <c r="B37" s="17" t="s">
        <v>245</v>
      </c>
      <c r="C37" s="8" t="s">
        <v>246</v>
      </c>
      <c r="D37" s="17" t="s">
        <v>20</v>
      </c>
      <c r="E37" s="17">
        <v>2</v>
      </c>
      <c r="F37" s="18">
        <f>Kodierung!F87</f>
        <v>3</v>
      </c>
    </row>
    <row r="38" spans="1:6" ht="15.75" customHeight="1" x14ac:dyDescent="0.25">
      <c r="A38" s="7" t="s">
        <v>47</v>
      </c>
      <c r="B38" s="17" t="s">
        <v>247</v>
      </c>
      <c r="C38" s="8" t="s">
        <v>248</v>
      </c>
      <c r="D38" s="17" t="s">
        <v>12</v>
      </c>
      <c r="E38" s="17">
        <v>2</v>
      </c>
      <c r="F38" s="18">
        <f>Kodierung!F10</f>
        <v>3</v>
      </c>
    </row>
    <row r="39" spans="1:6" ht="15.75" customHeight="1" x14ac:dyDescent="0.25">
      <c r="A39" s="7" t="s">
        <v>116</v>
      </c>
      <c r="B39" s="17" t="s">
        <v>247</v>
      </c>
      <c r="C39" s="8" t="s">
        <v>248</v>
      </c>
      <c r="D39" s="17" t="s">
        <v>12</v>
      </c>
      <c r="E39" s="17">
        <v>3</v>
      </c>
      <c r="F39" s="18">
        <f>Kodierung!F33</f>
        <v>3</v>
      </c>
    </row>
    <row r="40" spans="1:6" ht="15.75" customHeight="1" x14ac:dyDescent="0.25">
      <c r="A40" s="7" t="s">
        <v>118</v>
      </c>
      <c r="B40" s="17" t="s">
        <v>247</v>
      </c>
      <c r="C40" s="8" t="s">
        <v>248</v>
      </c>
      <c r="D40" s="17" t="s">
        <v>12</v>
      </c>
      <c r="E40" s="17">
        <v>1</v>
      </c>
      <c r="F40" s="18">
        <f>Kodierung!F34</f>
        <v>3</v>
      </c>
    </row>
    <row r="41" spans="1:6" ht="15.75" customHeight="1" x14ac:dyDescent="0.25">
      <c r="A41" s="7" t="s">
        <v>105</v>
      </c>
      <c r="B41" s="17" t="s">
        <v>247</v>
      </c>
      <c r="C41" s="8" t="s">
        <v>248</v>
      </c>
      <c r="D41" s="17" t="s">
        <v>20</v>
      </c>
      <c r="E41" s="17">
        <v>2</v>
      </c>
      <c r="F41" s="18">
        <f>Kodierung!F28</f>
        <v>3</v>
      </c>
    </row>
    <row r="42" spans="1:6" ht="15.75" customHeight="1" x14ac:dyDescent="0.25">
      <c r="A42" s="7" t="s">
        <v>133</v>
      </c>
      <c r="B42" s="17" t="s">
        <v>247</v>
      </c>
      <c r="C42" s="8" t="s">
        <v>248</v>
      </c>
      <c r="D42" s="17" t="s">
        <v>20</v>
      </c>
      <c r="E42" s="17">
        <v>1</v>
      </c>
      <c r="F42" s="18">
        <f>Kodierung!F39</f>
        <v>3</v>
      </c>
    </row>
    <row r="43" spans="1:6" ht="15.75" customHeight="1" x14ac:dyDescent="0.25">
      <c r="A43" s="7" t="s">
        <v>156</v>
      </c>
      <c r="B43" s="17" t="s">
        <v>247</v>
      </c>
      <c r="C43" s="8" t="s">
        <v>248</v>
      </c>
      <c r="D43" s="17" t="s">
        <v>20</v>
      </c>
      <c r="E43" s="17">
        <v>3</v>
      </c>
      <c r="F43" s="18">
        <f>Kodierung!F50</f>
        <v>3</v>
      </c>
    </row>
    <row r="44" spans="1:6" ht="15.75" customHeight="1" x14ac:dyDescent="0.25">
      <c r="A44" s="7" t="s">
        <v>57</v>
      </c>
      <c r="B44" s="17" t="s">
        <v>249</v>
      </c>
      <c r="C44" s="8" t="s">
        <v>250</v>
      </c>
      <c r="D44" s="17" t="s">
        <v>12</v>
      </c>
      <c r="E44" s="17">
        <v>1</v>
      </c>
      <c r="F44" s="18">
        <f>Kodierung!F12</f>
        <v>3</v>
      </c>
    </row>
    <row r="45" spans="1:6" ht="15.75" customHeight="1" x14ac:dyDescent="0.25">
      <c r="A45" s="13" t="s">
        <v>60</v>
      </c>
      <c r="B45" s="14" t="s">
        <v>249</v>
      </c>
      <c r="C45" s="15" t="s">
        <v>250</v>
      </c>
      <c r="D45" s="14" t="s">
        <v>12</v>
      </c>
      <c r="E45" s="14">
        <v>3</v>
      </c>
      <c r="F45" s="16">
        <f>Kodierung!F13</f>
        <v>3</v>
      </c>
    </row>
    <row r="46" spans="1:6" ht="15.75" customHeight="1" x14ac:dyDescent="0.25">
      <c r="A46" s="13" t="s">
        <v>123</v>
      </c>
      <c r="B46" s="14" t="s">
        <v>249</v>
      </c>
      <c r="C46" s="15" t="s">
        <v>250</v>
      </c>
      <c r="D46" s="14" t="s">
        <v>12</v>
      </c>
      <c r="E46" s="14">
        <v>2</v>
      </c>
      <c r="F46" s="16">
        <f>Kodierung!F36</f>
        <v>3</v>
      </c>
    </row>
    <row r="47" spans="1:6" ht="15.75" customHeight="1" x14ac:dyDescent="0.25">
      <c r="A47" s="7" t="s">
        <v>21</v>
      </c>
      <c r="B47" s="17" t="s">
        <v>249</v>
      </c>
      <c r="C47" s="8" t="s">
        <v>250</v>
      </c>
      <c r="D47" s="17" t="s">
        <v>20</v>
      </c>
      <c r="E47" s="17">
        <v>1</v>
      </c>
      <c r="F47" s="18">
        <f>Kodierung!F4</f>
        <v>3</v>
      </c>
    </row>
    <row r="48" spans="1:6" ht="15.75" customHeight="1" x14ac:dyDescent="0.25">
      <c r="A48" s="7" t="s">
        <v>111</v>
      </c>
      <c r="B48" s="17" t="s">
        <v>249</v>
      </c>
      <c r="C48" s="8" t="s">
        <v>250</v>
      </c>
      <c r="D48" s="17" t="s">
        <v>20</v>
      </c>
      <c r="E48" s="17">
        <v>2</v>
      </c>
      <c r="F48" s="18">
        <f>Kodierung!F31</f>
        <v>3</v>
      </c>
    </row>
    <row r="49" spans="1:6" ht="15.75" customHeight="1" x14ac:dyDescent="0.25">
      <c r="A49" s="7" t="s">
        <v>186</v>
      </c>
      <c r="B49" s="17" t="s">
        <v>249</v>
      </c>
      <c r="C49" s="8" t="s">
        <v>250</v>
      </c>
      <c r="D49" s="17" t="s">
        <v>20</v>
      </c>
      <c r="E49" s="17">
        <v>3</v>
      </c>
      <c r="F49" s="18">
        <f>Kodierung!F64</f>
        <v>3</v>
      </c>
    </row>
    <row r="50" spans="1:6" ht="15.75" customHeight="1" x14ac:dyDescent="0.25">
      <c r="A50" s="7" t="s">
        <v>81</v>
      </c>
      <c r="B50" s="17" t="s">
        <v>251</v>
      </c>
      <c r="C50" s="8" t="s">
        <v>252</v>
      </c>
      <c r="D50" s="17" t="s">
        <v>12</v>
      </c>
      <c r="E50" s="17">
        <v>1</v>
      </c>
      <c r="F50" s="18">
        <f>Kodierung!F20</f>
        <v>3</v>
      </c>
    </row>
    <row r="51" spans="1:6" ht="15.75" customHeight="1" x14ac:dyDescent="0.25">
      <c r="A51" s="7" t="s">
        <v>145</v>
      </c>
      <c r="B51" s="17" t="s">
        <v>251</v>
      </c>
      <c r="C51" s="8" t="s">
        <v>252</v>
      </c>
      <c r="D51" s="17" t="s">
        <v>12</v>
      </c>
      <c r="E51" s="17">
        <v>2</v>
      </c>
      <c r="F51" s="18">
        <f>Kodierung!F44</f>
        <v>3</v>
      </c>
    </row>
    <row r="52" spans="1:6" ht="15.75" customHeight="1" x14ac:dyDescent="0.25">
      <c r="A52" s="7" t="s">
        <v>199</v>
      </c>
      <c r="B52" s="17" t="s">
        <v>251</v>
      </c>
      <c r="C52" s="8" t="s">
        <v>252</v>
      </c>
      <c r="D52" s="17" t="s">
        <v>12</v>
      </c>
      <c r="E52" s="17">
        <v>3</v>
      </c>
      <c r="F52" s="18">
        <f>Kodierung!F70</f>
        <v>3</v>
      </c>
    </row>
    <row r="53" spans="1:6" ht="15.75" customHeight="1" x14ac:dyDescent="0.25">
      <c r="A53" s="7" t="s">
        <v>88</v>
      </c>
      <c r="B53" s="17" t="s">
        <v>251</v>
      </c>
      <c r="C53" s="8" t="s">
        <v>252</v>
      </c>
      <c r="D53" s="17" t="s">
        <v>20</v>
      </c>
      <c r="E53" s="17">
        <v>2</v>
      </c>
      <c r="F53" s="18">
        <f>Kodierung!F22</f>
        <v>3</v>
      </c>
    </row>
    <row r="54" spans="1:6" ht="15.75" customHeight="1" x14ac:dyDescent="0.25">
      <c r="A54" s="7" t="s">
        <v>158</v>
      </c>
      <c r="B54" s="17" t="s">
        <v>251</v>
      </c>
      <c r="C54" s="8" t="s">
        <v>252</v>
      </c>
      <c r="D54" s="17" t="s">
        <v>20</v>
      </c>
      <c r="E54" s="17">
        <v>3</v>
      </c>
      <c r="F54" s="18">
        <f>Kodierung!F51</f>
        <v>3</v>
      </c>
    </row>
    <row r="55" spans="1:6" ht="15.75" customHeight="1" x14ac:dyDescent="0.25">
      <c r="A55" s="7" t="s">
        <v>174</v>
      </c>
      <c r="B55" s="17" t="s">
        <v>251</v>
      </c>
      <c r="C55" s="8" t="s">
        <v>252</v>
      </c>
      <c r="D55" s="17" t="s">
        <v>20</v>
      </c>
      <c r="E55" s="17">
        <v>1</v>
      </c>
      <c r="F55" s="18">
        <f>Kodierung!F58</f>
        <v>3</v>
      </c>
    </row>
    <row r="56" spans="1:6" ht="15.75" customHeight="1" x14ac:dyDescent="0.25">
      <c r="A56" s="7" t="s">
        <v>11</v>
      </c>
      <c r="B56" s="17" t="s">
        <v>253</v>
      </c>
      <c r="C56" s="8" t="s">
        <v>254</v>
      </c>
      <c r="D56" s="17" t="s">
        <v>12</v>
      </c>
      <c r="E56" s="17">
        <v>2</v>
      </c>
      <c r="F56" s="18">
        <f>Kodierung!F2</f>
        <v>3</v>
      </c>
    </row>
    <row r="57" spans="1:6" ht="15.75" customHeight="1" x14ac:dyDescent="0.25">
      <c r="A57" s="7" t="s">
        <v>70</v>
      </c>
      <c r="B57" s="17" t="s">
        <v>253</v>
      </c>
      <c r="C57" s="8" t="s">
        <v>254</v>
      </c>
      <c r="D57" s="17" t="s">
        <v>12</v>
      </c>
      <c r="E57" s="17">
        <v>3</v>
      </c>
      <c r="F57" s="18">
        <f>Kodierung!F16</f>
        <v>3</v>
      </c>
    </row>
    <row r="58" spans="1:6" ht="15.75" customHeight="1" x14ac:dyDescent="0.25">
      <c r="A58" s="7" t="s">
        <v>195</v>
      </c>
      <c r="B58" s="17" t="s">
        <v>253</v>
      </c>
      <c r="C58" s="8" t="s">
        <v>254</v>
      </c>
      <c r="D58" s="17" t="s">
        <v>12</v>
      </c>
      <c r="E58" s="17">
        <v>1</v>
      </c>
      <c r="F58" s="18">
        <f>Kodierung!F68</f>
        <v>3</v>
      </c>
    </row>
    <row r="59" spans="1:6" ht="15.75" customHeight="1" x14ac:dyDescent="0.25">
      <c r="A59" s="7" t="s">
        <v>73</v>
      </c>
      <c r="B59" s="17" t="s">
        <v>253</v>
      </c>
      <c r="C59" s="8" t="s">
        <v>254</v>
      </c>
      <c r="D59" s="17" t="s">
        <v>20</v>
      </c>
      <c r="E59" s="17">
        <v>2</v>
      </c>
      <c r="F59" s="18">
        <f>Kodierung!F17</f>
        <v>3</v>
      </c>
    </row>
    <row r="60" spans="1:6" ht="15.75" customHeight="1" x14ac:dyDescent="0.25">
      <c r="A60" s="7" t="s">
        <v>86</v>
      </c>
      <c r="B60" s="17" t="s">
        <v>253</v>
      </c>
      <c r="C60" s="8" t="s">
        <v>254</v>
      </c>
      <c r="D60" s="17" t="s">
        <v>20</v>
      </c>
      <c r="E60" s="17">
        <v>3</v>
      </c>
      <c r="F60" s="18">
        <f>Kodierung!F21</f>
        <v>3</v>
      </c>
    </row>
    <row r="61" spans="1:6" ht="15.75" customHeight="1" x14ac:dyDescent="0.25">
      <c r="A61" s="7" t="s">
        <v>221</v>
      </c>
      <c r="B61" s="17" t="s">
        <v>253</v>
      </c>
      <c r="C61" s="8" t="s">
        <v>254</v>
      </c>
      <c r="D61" s="17" t="s">
        <v>20</v>
      </c>
      <c r="E61" s="17">
        <v>1</v>
      </c>
      <c r="F61" s="18">
        <f>Kodierung!F80</f>
        <v>3</v>
      </c>
    </row>
    <row r="62" spans="1:6" ht="15.75" customHeight="1" x14ac:dyDescent="0.25">
      <c r="A62" s="7" t="s">
        <v>99</v>
      </c>
      <c r="B62" s="17" t="s">
        <v>255</v>
      </c>
      <c r="C62" s="8" t="s">
        <v>256</v>
      </c>
      <c r="D62" s="17" t="s">
        <v>12</v>
      </c>
      <c r="E62" s="17">
        <v>1</v>
      </c>
      <c r="F62" s="18">
        <f>Kodierung!F25</f>
        <v>3</v>
      </c>
    </row>
    <row r="63" spans="1:6" ht="15.75" customHeight="1" x14ac:dyDescent="0.25">
      <c r="A63" s="7" t="s">
        <v>140</v>
      </c>
      <c r="B63" s="17" t="s">
        <v>255</v>
      </c>
      <c r="C63" s="8" t="s">
        <v>256</v>
      </c>
      <c r="D63" s="17" t="s">
        <v>12</v>
      </c>
      <c r="E63" s="17">
        <v>3</v>
      </c>
      <c r="F63" s="18">
        <f>Kodierung!F42</f>
        <v>3</v>
      </c>
    </row>
    <row r="64" spans="1:6" ht="15.75" customHeight="1" x14ac:dyDescent="0.25">
      <c r="A64" s="7" t="s">
        <v>209</v>
      </c>
      <c r="B64" s="17" t="s">
        <v>255</v>
      </c>
      <c r="C64" s="8" t="s">
        <v>256</v>
      </c>
      <c r="D64" s="17" t="s">
        <v>12</v>
      </c>
      <c r="E64" s="17">
        <v>2</v>
      </c>
      <c r="F64" s="18">
        <f>Kodierung!F74</f>
        <v>3</v>
      </c>
    </row>
    <row r="65" spans="1:6" ht="15.75" customHeight="1" x14ac:dyDescent="0.25">
      <c r="A65" s="7" t="s">
        <v>75</v>
      </c>
      <c r="B65" s="17" t="s">
        <v>255</v>
      </c>
      <c r="C65" s="8" t="s">
        <v>256</v>
      </c>
      <c r="D65" s="17" t="s">
        <v>20</v>
      </c>
      <c r="E65" s="17">
        <v>3</v>
      </c>
      <c r="F65" s="18">
        <f>Kodierung!F18</f>
        <v>3</v>
      </c>
    </row>
    <row r="66" spans="1:6" ht="15.75" customHeight="1" x14ac:dyDescent="0.25">
      <c r="A66" s="7" t="s">
        <v>114</v>
      </c>
      <c r="B66" s="17" t="s">
        <v>255</v>
      </c>
      <c r="C66" s="8" t="s">
        <v>256</v>
      </c>
      <c r="D66" s="17" t="s">
        <v>20</v>
      </c>
      <c r="E66" s="17">
        <v>2</v>
      </c>
      <c r="F66" s="18">
        <f>Kodierung!F32</f>
        <v>3</v>
      </c>
    </row>
    <row r="67" spans="1:6" ht="15.75" customHeight="1" x14ac:dyDescent="0.25">
      <c r="A67" s="7" t="s">
        <v>172</v>
      </c>
      <c r="B67" s="17" t="s">
        <v>255</v>
      </c>
      <c r="C67" s="8" t="s">
        <v>256</v>
      </c>
      <c r="D67" s="17" t="s">
        <v>20</v>
      </c>
      <c r="E67" s="17">
        <v>1</v>
      </c>
      <c r="F67" s="18">
        <f>Kodierung!F57</f>
        <v>3</v>
      </c>
    </row>
    <row r="68" spans="1:6" ht="15.75" customHeight="1" x14ac:dyDescent="0.25">
      <c r="A68" s="7" t="s">
        <v>79</v>
      </c>
      <c r="B68" s="17" t="s">
        <v>257</v>
      </c>
      <c r="C68" s="8" t="s">
        <v>258</v>
      </c>
      <c r="D68" s="17" t="s">
        <v>12</v>
      </c>
      <c r="E68" s="17">
        <v>2</v>
      </c>
      <c r="F68" s="18">
        <f>Kodierung!F19</f>
        <v>3</v>
      </c>
    </row>
    <row r="69" spans="1:6" ht="15.75" customHeight="1" x14ac:dyDescent="0.25">
      <c r="A69" s="7" t="s">
        <v>107</v>
      </c>
      <c r="B69" s="17" t="s">
        <v>257</v>
      </c>
      <c r="C69" s="8" t="s">
        <v>258</v>
      </c>
      <c r="D69" s="17" t="s">
        <v>12</v>
      </c>
      <c r="E69" s="17">
        <v>3</v>
      </c>
      <c r="F69" s="18">
        <f>Kodierung!F29</f>
        <v>3</v>
      </c>
    </row>
    <row r="70" spans="1:6" ht="15.75" customHeight="1" x14ac:dyDescent="0.25">
      <c r="A70" s="7" t="s">
        <v>226</v>
      </c>
      <c r="B70" s="17" t="s">
        <v>257</v>
      </c>
      <c r="C70" s="8" t="s">
        <v>258</v>
      </c>
      <c r="D70" s="17" t="s">
        <v>12</v>
      </c>
      <c r="E70" s="17">
        <v>1</v>
      </c>
      <c r="F70" s="18">
        <f>Kodierung!F83</f>
        <v>3</v>
      </c>
    </row>
    <row r="71" spans="1:6" ht="15.75" customHeight="1" x14ac:dyDescent="0.25">
      <c r="A71" s="7" t="s">
        <v>34</v>
      </c>
      <c r="B71" s="17" t="s">
        <v>257</v>
      </c>
      <c r="C71" s="8" t="s">
        <v>258</v>
      </c>
      <c r="D71" s="17" t="s">
        <v>20</v>
      </c>
      <c r="E71" s="17">
        <v>1</v>
      </c>
      <c r="F71" s="18">
        <f>Kodierung!F7</f>
        <v>3</v>
      </c>
    </row>
    <row r="72" spans="1:6" ht="15.75" customHeight="1" x14ac:dyDescent="0.25">
      <c r="A72" s="7" t="s">
        <v>64</v>
      </c>
      <c r="B72" s="17" t="s">
        <v>257</v>
      </c>
      <c r="C72" s="8" t="s">
        <v>258</v>
      </c>
      <c r="D72" s="17" t="s">
        <v>20</v>
      </c>
      <c r="E72" s="17">
        <v>2</v>
      </c>
      <c r="F72" s="18">
        <f>Kodierung!F14</f>
        <v>3</v>
      </c>
    </row>
    <row r="73" spans="1:6" ht="15.75" customHeight="1" x14ac:dyDescent="0.25">
      <c r="A73" s="7" t="s">
        <v>143</v>
      </c>
      <c r="B73" s="17" t="s">
        <v>257</v>
      </c>
      <c r="C73" s="8" t="s">
        <v>258</v>
      </c>
      <c r="D73" s="17" t="s">
        <v>20</v>
      </c>
      <c r="E73" s="17">
        <v>3</v>
      </c>
      <c r="F73" s="18">
        <f>Kodierung!F43</f>
        <v>3</v>
      </c>
    </row>
    <row r="74" spans="1:6" ht="15.75" customHeight="1" x14ac:dyDescent="0.25">
      <c r="A74" s="7" t="s">
        <v>126</v>
      </c>
      <c r="B74" s="17" t="s">
        <v>259</v>
      </c>
      <c r="C74" s="8" t="s">
        <v>260</v>
      </c>
      <c r="D74" s="17" t="s">
        <v>12</v>
      </c>
      <c r="E74" s="17">
        <v>3</v>
      </c>
      <c r="F74" s="18">
        <f>Kodierung!F37</f>
        <v>3</v>
      </c>
    </row>
    <row r="75" spans="1:6" ht="15.75" customHeight="1" x14ac:dyDescent="0.25">
      <c r="A75" s="7" t="s">
        <v>207</v>
      </c>
      <c r="B75" s="17" t="s">
        <v>259</v>
      </c>
      <c r="C75" s="8" t="s">
        <v>260</v>
      </c>
      <c r="D75" s="17" t="s">
        <v>12</v>
      </c>
      <c r="E75" s="17">
        <v>2</v>
      </c>
      <c r="F75" s="18">
        <f>Kodierung!F73</f>
        <v>3</v>
      </c>
    </row>
    <row r="76" spans="1:6" ht="15.75" customHeight="1" x14ac:dyDescent="0.25">
      <c r="A76" s="7" t="s">
        <v>223</v>
      </c>
      <c r="B76" s="17" t="s">
        <v>259</v>
      </c>
      <c r="C76" s="8" t="s">
        <v>260</v>
      </c>
      <c r="D76" s="17" t="s">
        <v>12</v>
      </c>
      <c r="E76" s="17">
        <v>1</v>
      </c>
      <c r="F76" s="18">
        <f>Kodierung!F81</f>
        <v>3</v>
      </c>
    </row>
    <row r="77" spans="1:6" ht="15.75" customHeight="1" x14ac:dyDescent="0.25">
      <c r="A77" s="7" t="s">
        <v>30</v>
      </c>
      <c r="B77" s="17" t="s">
        <v>259</v>
      </c>
      <c r="C77" s="8" t="s">
        <v>260</v>
      </c>
      <c r="D77" s="17" t="s">
        <v>20</v>
      </c>
      <c r="E77" s="17">
        <v>1</v>
      </c>
      <c r="F77" s="18">
        <f>Kodierung!F6</f>
        <v>3</v>
      </c>
    </row>
    <row r="78" spans="1:6" ht="15.75" customHeight="1" x14ac:dyDescent="0.25">
      <c r="A78" s="7" t="s">
        <v>151</v>
      </c>
      <c r="B78" s="17" t="s">
        <v>259</v>
      </c>
      <c r="C78" s="8" t="s">
        <v>260</v>
      </c>
      <c r="D78" s="17" t="s">
        <v>20</v>
      </c>
      <c r="E78" s="17">
        <v>2</v>
      </c>
      <c r="F78" s="18">
        <f>Kodierung!F47</f>
        <v>3</v>
      </c>
    </row>
    <row r="79" spans="1:6" ht="15.75" customHeight="1" x14ac:dyDescent="0.25">
      <c r="A79" s="7" t="s">
        <v>184</v>
      </c>
      <c r="B79" s="17" t="s">
        <v>259</v>
      </c>
      <c r="C79" s="8" t="s">
        <v>260</v>
      </c>
      <c r="D79" s="17" t="s">
        <v>20</v>
      </c>
      <c r="E79" s="17">
        <v>3</v>
      </c>
      <c r="F79" s="18">
        <f>Kodierung!F63</f>
        <v>3</v>
      </c>
    </row>
    <row r="80" spans="1:6" ht="15.75" customHeight="1" x14ac:dyDescent="0.25">
      <c r="A80" s="7" t="s">
        <v>176</v>
      </c>
      <c r="B80" s="17" t="s">
        <v>261</v>
      </c>
      <c r="C80" s="8" t="s">
        <v>262</v>
      </c>
      <c r="D80" s="17" t="s">
        <v>12</v>
      </c>
      <c r="E80" s="17">
        <v>2</v>
      </c>
      <c r="F80" s="18">
        <f>Kodierung!F59</f>
        <v>3</v>
      </c>
    </row>
    <row r="81" spans="1:6" ht="15.75" customHeight="1" x14ac:dyDescent="0.25">
      <c r="A81" s="7" t="s">
        <v>180</v>
      </c>
      <c r="B81" s="17" t="s">
        <v>261</v>
      </c>
      <c r="C81" s="8" t="s">
        <v>262</v>
      </c>
      <c r="D81" s="17" t="s">
        <v>12</v>
      </c>
      <c r="E81" s="17">
        <v>3</v>
      </c>
      <c r="F81" s="18">
        <f>Kodierung!F61</f>
        <v>3</v>
      </c>
    </row>
    <row r="82" spans="1:6" ht="15.75" customHeight="1" x14ac:dyDescent="0.25">
      <c r="A82" s="7" t="s">
        <v>243</v>
      </c>
      <c r="B82" s="17" t="s">
        <v>261</v>
      </c>
      <c r="C82" s="8" t="s">
        <v>262</v>
      </c>
      <c r="D82" s="17" t="s">
        <v>12</v>
      </c>
      <c r="E82" s="17">
        <v>1</v>
      </c>
      <c r="F82" s="18">
        <f>Kodierung!F91</f>
        <v>3</v>
      </c>
    </row>
    <row r="83" spans="1:6" ht="15.75" customHeight="1" x14ac:dyDescent="0.25">
      <c r="A83" s="7" t="s">
        <v>94</v>
      </c>
      <c r="B83" s="17" t="s">
        <v>261</v>
      </c>
      <c r="C83" s="8" t="s">
        <v>262</v>
      </c>
      <c r="D83" s="17" t="s">
        <v>20</v>
      </c>
      <c r="E83" s="17">
        <v>2</v>
      </c>
      <c r="F83" s="18">
        <f>Kodierung!F24</f>
        <v>3</v>
      </c>
    </row>
    <row r="84" spans="1:6" ht="15.75" customHeight="1" x14ac:dyDescent="0.25">
      <c r="A84" s="7" t="s">
        <v>163</v>
      </c>
      <c r="B84" s="17" t="s">
        <v>261</v>
      </c>
      <c r="C84" s="8" t="s">
        <v>262</v>
      </c>
      <c r="D84" s="17" t="s">
        <v>20</v>
      </c>
      <c r="E84" s="17">
        <v>1</v>
      </c>
      <c r="F84" s="18">
        <f>Kodierung!F53</f>
        <v>3</v>
      </c>
    </row>
    <row r="85" spans="1:6" ht="15.75" customHeight="1" x14ac:dyDescent="0.25">
      <c r="A85" s="7" t="s">
        <v>215</v>
      </c>
      <c r="B85" s="17" t="s">
        <v>261</v>
      </c>
      <c r="C85" s="8" t="s">
        <v>262</v>
      </c>
      <c r="D85" s="17" t="s">
        <v>20</v>
      </c>
      <c r="E85" s="17">
        <v>3</v>
      </c>
      <c r="F85" s="18">
        <f>Kodierung!F77</f>
        <v>3</v>
      </c>
    </row>
    <row r="86" spans="1:6" ht="15.75" customHeight="1" x14ac:dyDescent="0.25">
      <c r="A86" s="7" t="s">
        <v>121</v>
      </c>
      <c r="B86" s="17" t="s">
        <v>263</v>
      </c>
      <c r="C86" s="8" t="s">
        <v>264</v>
      </c>
      <c r="D86" s="17" t="s">
        <v>12</v>
      </c>
      <c r="E86" s="17">
        <v>2</v>
      </c>
      <c r="F86" s="18">
        <f>Kodierung!F35</f>
        <v>3</v>
      </c>
    </row>
    <row r="87" spans="1:6" ht="15.75" customHeight="1" x14ac:dyDescent="0.25">
      <c r="A87" s="7" t="s">
        <v>203</v>
      </c>
      <c r="B87" s="17" t="s">
        <v>263</v>
      </c>
      <c r="C87" s="8" t="s">
        <v>264</v>
      </c>
      <c r="D87" s="17" t="s">
        <v>12</v>
      </c>
      <c r="E87" s="17">
        <v>3</v>
      </c>
      <c r="F87" s="18">
        <f>Kodierung!F71</f>
        <v>3</v>
      </c>
    </row>
    <row r="88" spans="1:6" ht="15.75" customHeight="1" x14ac:dyDescent="0.25">
      <c r="A88" s="7" t="s">
        <v>217</v>
      </c>
      <c r="B88" s="17" t="s">
        <v>263</v>
      </c>
      <c r="C88" s="8" t="s">
        <v>264</v>
      </c>
      <c r="D88" s="17" t="s">
        <v>12</v>
      </c>
      <c r="E88" s="17">
        <v>1</v>
      </c>
      <c r="F88" s="18">
        <f>Kodierung!F78</f>
        <v>3</v>
      </c>
    </row>
    <row r="89" spans="1:6" ht="15.75" customHeight="1" x14ac:dyDescent="0.25">
      <c r="A89" s="7" t="s">
        <v>90</v>
      </c>
      <c r="B89" s="17" t="s">
        <v>263</v>
      </c>
      <c r="C89" s="8" t="s">
        <v>264</v>
      </c>
      <c r="D89" s="17" t="s">
        <v>20</v>
      </c>
      <c r="E89" s="17">
        <v>2</v>
      </c>
      <c r="F89" s="18">
        <f>Kodierung!F23</f>
        <v>3</v>
      </c>
    </row>
    <row r="90" spans="1:6" ht="15.75" customHeight="1" x14ac:dyDescent="0.25">
      <c r="A90" s="7" t="s">
        <v>192</v>
      </c>
      <c r="B90" s="17" t="s">
        <v>263</v>
      </c>
      <c r="C90" s="8" t="s">
        <v>264</v>
      </c>
      <c r="D90" s="17" t="s">
        <v>20</v>
      </c>
      <c r="E90" s="17">
        <v>3</v>
      </c>
      <c r="F90" s="18">
        <f>Kodierung!F67</f>
        <v>3</v>
      </c>
    </row>
    <row r="91" spans="1:6" ht="15.75" customHeight="1" x14ac:dyDescent="0.25">
      <c r="A91" s="7" t="s">
        <v>197</v>
      </c>
      <c r="B91" s="17" t="s">
        <v>263</v>
      </c>
      <c r="C91" s="8" t="s">
        <v>264</v>
      </c>
      <c r="D91" s="17" t="s">
        <v>20</v>
      </c>
      <c r="E91" s="17">
        <v>1</v>
      </c>
      <c r="F91" s="18">
        <f>Kodierung!F69</f>
        <v>3</v>
      </c>
    </row>
    <row r="92" spans="1:6" ht="15.75" customHeight="1" x14ac:dyDescent="0.25"/>
    <row r="93" spans="1:6" ht="15.75" customHeight="1" x14ac:dyDescent="0.25"/>
    <row r="94" spans="1:6" ht="15.75" customHeight="1" x14ac:dyDescent="0.25"/>
    <row r="95" spans="1:6" ht="15.75" customHeight="1" x14ac:dyDescent="0.25"/>
    <row r="96" spans="1: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3">
    <dataValidation type="list" allowBlank="1" showDropDown="1" showErrorMessage="1" sqref="D2:D91" xr:uid="{00000000-0002-0000-0100-000000000000}">
      <formula1>"gemini-3.6-flash,gpt-5.6-luna"</formula1>
    </dataValidation>
    <dataValidation type="list" allowBlank="1" showDropDown="1" showErrorMessage="1" sqref="B2:B91" xr:uid="{00000000-0002-0000-0100-000001000000}">
      <formula1>"E0_10,E0_02,E0_08,E0_01,E0_13,E0_12,E0_03,E0_05,E0_07,E0_06,E0_04,E0_11,E0_09,E0_15,E0_14"</formula1>
    </dataValidation>
    <dataValidation type="custom" allowBlank="1" showDropDown="1" sqref="E2:F91" xr:uid="{00000000-0002-0000-0100-000002000000}">
      <formula1>AND(ISNUMBER(E2),(NOT(OR(NOT(ISERROR(DATEVALUE(E2))), AND(ISNUMBER(E2), LEFT(CELL("format", E2))="D")))))</formula1>
    </dataValidation>
  </dataValidations>
  <pageMargins left="0.75" right="0.75" top="1" bottom="1" header="0" footer="0"/>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activeCell="B5" sqref="B5"/>
    </sheetView>
  </sheetViews>
  <sheetFormatPr baseColWidth="10" defaultColWidth="14.42578125" defaultRowHeight="15" customHeight="1" x14ac:dyDescent="0.25"/>
  <cols>
    <col min="1" max="1" width="24" customWidth="1"/>
    <col min="2" max="2" width="31.140625" customWidth="1"/>
    <col min="3" max="26" width="8.7109375" customWidth="1"/>
  </cols>
  <sheetData>
    <row r="1" spans="1:2" ht="15.75" x14ac:dyDescent="0.25">
      <c r="A1" s="1" t="s">
        <v>0</v>
      </c>
    </row>
    <row r="3" spans="1:2" x14ac:dyDescent="0.25">
      <c r="A3" s="3" t="s">
        <v>2</v>
      </c>
    </row>
    <row r="4" spans="1:2" x14ac:dyDescent="0.25">
      <c r="A4" s="4" t="s">
        <v>5</v>
      </c>
      <c r="B4" s="4" t="s">
        <v>10</v>
      </c>
    </row>
    <row r="5" spans="1:2" x14ac:dyDescent="0.25">
      <c r="A5" s="6" t="s">
        <v>12</v>
      </c>
      <c r="B5" s="10">
        <f>AVERAGEIF(Schluessel!$D$2:$D$91,"gemini-3.6-flash",Schluessel!$F$2:$F$91)</f>
        <v>2.911111111111111</v>
      </c>
    </row>
    <row r="6" spans="1:2" x14ac:dyDescent="0.25">
      <c r="A6" s="6" t="s">
        <v>20</v>
      </c>
      <c r="B6" s="10">
        <f>AVERAGEIF(Schluessel!$D$2:$D$91,"gpt-5.6-luna",Schluessel!$F$2:$F$91)</f>
        <v>2.9333333333333331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Kodierung</vt:lpstr>
      <vt:lpstr>Schluessel</vt:lpstr>
      <vt:lpstr>Auswertung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Thien Giao Nguyen</cp:lastModifiedBy>
  <dcterms:modified xsi:type="dcterms:W3CDTF">2026-08-15T16:08:19Z</dcterms:modified>
</cp:coreProperties>
</file>